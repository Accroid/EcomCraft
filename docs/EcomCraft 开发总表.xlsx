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54 项功能，按 7 个阶段排列，其中 MVP（A 平台底座、B 电商出图、C 易用与运维）27 项；简易模式改版 v3（F52–F57）6 项中 5 项代码已完成、F57 暂缓；后续增强中 F25、F12、F47 代码已完成，F04 服务端已完成。“功能状态”根据开发任务自动计算，不用手填</t>
        </is>
      </c>
    </row>
    <row r="4" ht="35" customHeight="1" s="23">
      <c r="A4" s="43" t="inlineStr">
        <is>
          <t>开发任务</t>
        </is>
      </c>
      <c r="B4" s="42" t="inlineStr">
        <is>
          <t>58 个可直接交给 Claude Code 的任务（MVP 30 个），按“顺序”列执行；每个任务都有涉及文件、依赖、验收标准、测试方式和可直接粘贴的提示词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43" t="inlineStr">
        <is>
          <t>本表位置</t>
        </is>
      </c>
      <c r="B14" s="42" t="inlineStr">
        <is>
          <t>docs/EcomCraft 开发总表.xlsx，随仓库提交到 dev 分支</t>
        </is>
      </c>
    </row>
    <row r="15" ht="19.5" customHeight="1" s="23">
      <c r="A15" s="25" t="inlineStr">
        <is>
          <t>填写约定</t>
        </is>
      </c>
    </row>
    <row r="16" ht="35" customHeight="1" s="23">
      <c r="A16" s="43" t="inlineStr">
        <is>
          <t>黄色单元格</t>
        </is>
      </c>
      <c r="B16" s="42" t="inlineStr">
        <is>
          <t>由你填写；“状态”列从下拉菜单选择（未开始 / 进行中 / 已完成 / 暂缓）</t>
        </is>
      </c>
    </row>
    <row r="17" ht="19.4" customHeight="1" s="23">
      <c r="A17" s="43" t="inlineStr">
        <is>
          <t>编号规则</t>
        </is>
      </c>
      <c r="B17" s="42" t="inlineStr">
        <is>
          <t>F = 功能，T = 开发任务，N = 非开发事项，S = 痛点解决方案；编号不复用，合并或取消的项在备注中说明</t>
        </is>
      </c>
    </row>
    <row r="18" ht="19.5" customHeight="1" s="23">
      <c r="A18" s="25" t="inlineStr">
        <is>
          <t>用 Claude Code 开发的流程</t>
        </is>
      </c>
    </row>
    <row r="19" ht="19.5" customHeight="1" s="23">
      <c r="A19" s="43" t="inlineStr">
        <is>
          <t>第 1 步</t>
        </is>
      </c>
      <c r="B19" s="42" t="inlineStr">
        <is>
          <t>先做 T00：在仓库根目录建 CLAUDE.md，并用 @AGENTS.md 导入现有规则</t>
        </is>
      </c>
    </row>
    <row r="20" ht="35" customHeight="1" s="23">
      <c r="A20" s="43" t="inlineStr">
        <is>
          <t>第 2 步</t>
        </is>
      </c>
      <c r="B20" s="42" t="inlineStr">
        <is>
          <t>按“顺序”列一次只做一个任务；每个任务开一个新会话，避免上下文混在一起</t>
        </is>
      </c>
    </row>
    <row r="21" ht="35" customHeight="1" s="23">
      <c r="A21" s="43" t="inlineStr">
        <is>
          <t>第 3 步</t>
        </is>
      </c>
      <c r="B21" s="42" t="inlineStr">
        <is>
          <t>复制该任务的“Claude Code 提示词”粘贴进去；大多数提示词会让 Claude 先进入计划模式出方案，你看过确认后再让它写代码</t>
        </is>
      </c>
    </row>
    <row r="22" ht="19.5" customHeight="1" s="23">
      <c r="A22" s="43" t="inlineStr">
        <is>
          <t>第 4 步</t>
        </is>
      </c>
      <c r="B22" s="42" t="inlineStr">
        <is>
          <t>Claude 完成后，按“测试方式”列自己验证；涉及 GPU 生成的效果必须实际跑一遍，涉及多机的要在两台电脑上验证</t>
        </is>
      </c>
    </row>
    <row r="23" ht="19.5" customHeight="1" s="23">
      <c r="A23" s="43" t="inlineStr">
        <is>
          <t>第 5 步</t>
        </is>
      </c>
      <c r="B23" s="42" t="inlineStr">
        <is>
          <t>验证通过后一个任务做一次提交（dev 分支），再把任务状态改为“已完成”</t>
        </is>
      </c>
    </row>
    <row r="24" ht="19.5" customHeight="1" s="23">
      <c r="A24" s="43" t="inlineStr">
        <is>
          <t>第 6 步</t>
        </is>
      </c>
      <c r="B24" s="42" t="inlineStr">
        <is>
          <t>“依赖”列中的任务未完成前不要开始；N 开头的依赖是非开发事项</t>
        </is>
      </c>
    </row>
    <row r="25" ht="19.4" customHeight="1" s="23">
      <c r="A25" s="43" t="inlineStr">
        <is>
          <t>第 7 步</t>
        </is>
      </c>
      <c r="B25" s="42" t="inlineStr">
        <is>
          <t>每个任务涉及的文档都要中英文同步更新</t>
        </is>
      </c>
    </row>
    <row r="26" ht="35" customHeight="1" s="23">
      <c r="A26" s="25" t="inlineStr">
        <is>
          <t>注意事项</t>
        </is>
      </c>
    </row>
    <row r="27" ht="19.5" customHeight="1" s="23">
      <c r="A27" s="43" t="inlineStr">
        <is>
          <t>重新构建</t>
        </is>
      </c>
      <c r="B27" s="42" t="inlineStr">
        <is>
          <t>修改 src/Extensions/EcomCraft/ 的 C# 代码后，需按 AGENTS.md 重新构建扩展，否则会加载旧程序集</t>
        </is>
      </c>
    </row>
    <row r="28" ht="19.5" customHeight="1" s="23">
      <c r="A28" s="43" t="inlineStr">
        <is>
          <t>用户数据</t>
        </is>
      </c>
      <c r="B28" s="42" t="inlineStr">
        <is>
          <t>不要让 Claude 修改 Data/、Models/、Output/ 中的内容</t>
        </is>
      </c>
    </row>
    <row r="29" ht="19.5" customHeight="1" s="23">
      <c r="A29" s="43" t="inlineStr">
        <is>
          <t>规则变更</t>
        </is>
      </c>
      <c r="B29" s="42" t="inlineStr">
        <is>
          <t>T08、T09、T29 会修改需求文档或 AGENTS.md 中的规则，务必自己审阅后再同意</t>
        </is>
      </c>
    </row>
    <row r="30">
      <c r="A30" s="43" t="inlineStr">
        <is>
          <t>范围变更</t>
        </is>
      </c>
      <c r="B30"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72"/>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低</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n"/>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n"/>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T61、T62</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s="23">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row r="71" s="23">
      <c r="A71" s="22" t="inlineStr">
        <is>
          <t>F70</t>
        </is>
      </c>
      <c r="B71" s="22" t="inlineStr">
        <is>
          <t>后续：功能增强</t>
        </is>
      </c>
      <c r="C71" s="22" t="inlineStr">
        <is>
          <t>预计剩余时间</t>
        </is>
      </c>
      <c r="D71" s="22" t="inlineStr">
        <is>
          <t>生成提示词、写分镜、看图描述、优化提示词和出图显示“预计还需约多久”；按最近 20 次实际耗时的中位数估算（只记秒数、不记内容、存内存重启清空）；出图按工作流 + 尺寸 + 执行服务器统计单张耗时，排队中的任务显示“约多久后开始”；超时显示“比平时慢，仍在处理”；没有历史数据时只显示已用时间</t>
        </is>
      </c>
      <c r="E71" s="22" t="inlineStr">
        <is>
          <t>Generation/TaskTiming.cs、DurationRules.cs；StudioApi.cs；BatchService.cs；PromptService.cs；Studio/simple.js、studio.js</t>
        </is>
      </c>
      <c r="F71" s="22" t="inlineStr">
        <is>
          <t>中</t>
        </is>
      </c>
      <c r="G71" s="22" t="inlineStr">
        <is>
          <t>运营友好</t>
        </is>
      </c>
      <c r="H71" s="22" t="inlineStr">
        <is>
          <t>2026-10-29 用户确认</t>
        </is>
      </c>
      <c r="I71" s="22" t="inlineStr">
        <is>
          <t>T74</t>
        </is>
      </c>
      <c r="J71" s="22">
        <f>COUNTIF(开发任务!$D$5:$D$200,A71)</f>
        <v/>
      </c>
      <c r="K71" s="22">
        <f>IF(J71=0,"—",IF(COUNTIFS(开发任务!$D$5:$D$200,A71,开发任务!$L$5:$L$200,"暂缓")=J71,"暂缓",IF(COUNTIFS(开发任务!$D$5:$D$200,A71,开发任务!$L$5:$L$200,"未开始")=J71,"未开始",IF(COUNTIFS(开发任务!$D$5:$D$200,A71,开发任务!$L$5:$L$200,"已完成")=J71,"已完成",IF(COUNTIFS(开发任务!$D$5:$D$200,A71,开发任务!$L$5:$L$200,"已完成")+COUNTIFS(开发任务!$D$5:$D$200,A71,开发任务!$L$5:$L$200,"暂缓")=J71,"已完成（暂缓）","进行中")))))</f>
        <v/>
      </c>
      <c r="M71" s="22" t="n"/>
    </row>
    <row r="72" s="23">
      <c r="A72" s="22" t="inlineStr">
        <is>
          <t>F71</t>
        </is>
      </c>
      <c r="B72" s="22" t="inlineStr">
        <is>
          <t>后续：功能增强</t>
        </is>
      </c>
      <c r="C72" s="22" t="inlineStr">
        <is>
          <t>看图模型自适应运行设备</t>
        </is>
      </c>
      <c r="D72" s="22" t="inlineStr">
        <is>
          <t>客户电脑可能是 NVIDIA、AMD、Intel 显卡或 Mac；部分显卡（如走 Vulkan 的较老 AMD 卡）跑看图模型会卡住且让 Ollama 留下“假已加载”状态。P1：关闭思考模式、超时卸载模型、自动模式下第一次在 GPU 上限时 60 秒失败即改用 CPU，管理员可选“自动 / 只用 GPU / 只用 CPU”；P2：实测自检并保存结果；P3：按硬件推荐设备与模型、与 ComfyUI 共用显卡时让路</t>
        </is>
      </c>
      <c r="E72" s="22" t="inlineStr">
        <is>
          <t>MagicPrompt/BackendSchema.cs、LLMAPICalls.cs；Prompting/PromptService.cs；Studio/studio.js</t>
        </is>
      </c>
      <c r="F72" s="22" t="inlineStr">
        <is>
          <t>高</t>
        </is>
      </c>
      <c r="G72" s="22" t="inlineStr">
        <is>
          <t>运营友好</t>
        </is>
      </c>
      <c r="H72" s="22" t="inlineStr">
        <is>
          <t>2026-10-29 用户确认（AMD RX 5600 XT 看图卡死报告）</t>
        </is>
      </c>
      <c r="I72" s="22" t="inlineStr">
        <is>
          <t>T75、T76、T77</t>
        </is>
      </c>
      <c r="J72" s="22">
        <f>COUNTIF(开发任务!$D$5:$D$200,A72)</f>
        <v/>
      </c>
      <c r="K72" s="22">
        <f>IF(J72=0,"—",IF(COUNTIFS(开发任务!$D$5:$D$200,A72,开发任务!$L$5:$L$200,"暂缓")=J72,"暂缓",IF(COUNTIFS(开发任务!$D$5:$D$200,A72,开发任务!$L$5:$L$200,"未开始")=J72,"未开始",IF(COUNTIFS(开发任务!$D$5:$D$200,A72,开发任务!$L$5:$L$200,"已完成")=J72,"已完成",IF(COUNTIFS(开发任务!$D$5:$D$200,A72,开发任务!$L$5:$L$200,"已完成")+COUNTIFS(开发任务!$D$5:$D$200,A72,开发任务!$L$5:$L$200,"暂缓")=J72,"已完成（暂缓）","进行中")))))</f>
        <v/>
      </c>
      <c r="M72" s="22" t="inlineStr">
        <is>
          <t>需求见 docs/EcomCraft 参考图需求.zh-CN.md 8.1 节</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81"/>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未开始</t>
        </is>
      </c>
      <c r="M55" s="38" t="n"/>
      <c r="N55" s="44" t="inlineStr">
        <is>
          <t>会修改 AGENTS.md 规则，务必审阅</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进行中</t>
        </is>
      </c>
      <c r="N61" s="22" t="inlineStr">
        <is>
          <t>代码已提交：StandardWorkflows 生成器、系统生成发布、启动检查、管理员状态弹窗；蓝图 Templates/blueprints/text-to-image.json 已提交（69e495b9，来自用户验证过的 Qwen-Image 2.1 文生图工作流，去掉 ResolutionSelector）；待编译与验收</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进行中</t>
        </is>
      </c>
      <c r="M69" s="22" t="n"/>
      <c r="N69" s="22" t="inlineStr">
        <is>
          <t>代码已提交（只改前端）：≤720px 隐藏专业模式入口与相关按钮（.pro-only），#create 回到出图并提示；待手机浏览器验收</t>
        </is>
      </c>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进行中</t>
        </is>
      </c>
      <c r="M71" s="22" t="n"/>
      <c r="N71" s="22" t="inlineStr">
        <is>
          <t>代码已提交（只改前端）：候选图左上角收藏，调用 ToggleImageStarred，收藏时同时 EcomCraftStudioMarkKept 以免原图被清理；待浏览器验收</t>
        </is>
      </c>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进行中</t>
        </is>
      </c>
      <c r="M72" s="22" t="n"/>
      <c r="N72" s="22" t="inlineStr">
        <is>
          <t>代码已提交（只改前端）：画廊来源筛选（按元数据 ecomcraft_template 判断），队列顺序为我的请求 → 服务器任务 → 他人请求；收藏筛选沿用已有“已收藏”；待浏览器验收</t>
        </is>
      </c>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s="23">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进行中</t>
        </is>
      </c>
      <c r="M76" s="22" t="n"/>
      <c r="N76" s="22" t="inlineStr">
        <is>
          <t>代码已提交：EcomCraftStudioWorkflowSubmitOwn；审核列表显示待审核上传项，通过后 PublishOwn 复制为“上传/&lt;名称&gt;”发布快照；驳回原因只给上传者；待编译与验收</t>
        </is>
      </c>
    </row>
    <row r="77" s="23">
      <c r="A77" s="22" t="n">
        <v>73</v>
      </c>
      <c r="B77" s="22" t="inlineStr">
        <is>
          <t>T74</t>
        </is>
      </c>
      <c r="C77" s="22" t="inlineStr">
        <is>
          <t>后续：功能增强</t>
        </is>
      </c>
      <c r="D77" s="22" t="inlineStr">
        <is>
          <t>F70</t>
        </is>
      </c>
      <c r="E77" s="22" t="inlineStr">
        <is>
          <t>预计剩余时间</t>
        </is>
      </c>
      <c r="F77" s="22" t="inlineStr">
        <is>
          <t>Generation/TaskTiming.cs、Generation/DurationRules.cs、ExecutionScheduler.cs、StudioApi.cs、BatchService.cs、Prompting/PromptService.cs、MagicPrompt/LLMAPICalls.cs、Studio/simple.js、studio.js、lang/en.js、Tests</t>
        </is>
      </c>
      <c r="G77" s="22" t="inlineStr">
        <is>
          <t>T58</t>
        </is>
      </c>
      <c r="H77" s="22" t="inlineStr">
        <is>
          <t>M</t>
        </is>
      </c>
      <c r="I77" s="22" t="inlineStr">
        <is>
          <t>生成提示词、写分镜、看图描述、优化提示词和出图在等待时显示“预计还需约 X”并在两次刷新之间倒数；超出预计显示“比平时慢，仍在处理…”；没有历史数据时只显示已用时间；排队中的出图显示“约 X 后开始”；估算只用最近 20 次耗时的中位数，不保存提示词、图片或其他内容，重启后清空；队列与整套出图状态只给本账号的任务带估算</t>
        </is>
      </c>
      <c r="J77" s="22" t="inlineStr">
        <is>
          <t>C# 测试中位数与剩余时间计算；node --test；连续出几张图后看估算是否接近实际，同时排队两张看“约多久后开始”</t>
        </is>
      </c>
      <c r="K7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F70 预计剩余时间。
完成后：运行相关测试，执行 git diff --check，按 ecomcraft-docs-sync 技能同步文档，并列出改动文件和你做过的验证。</t>
        </is>
      </c>
      <c r="L77" s="22" t="inlineStr">
        <is>
          <t>进行中</t>
        </is>
      </c>
      <c r="M77" s="22" t="n"/>
      <c r="N77" s="22" t="inlineStr">
        <is>
          <t>2026-10-29 方案已确认：服务端按类别记录耗时中位数，出图按工作流 + 尺寸 + 服务器统计单张耗时，排队任务给出约多久后开始</t>
        </is>
      </c>
    </row>
    <row r="78" s="23">
      <c r="A78" s="22" t="n">
        <v>74</v>
      </c>
      <c r="B78" s="22" t="inlineStr">
        <is>
          <t>T75</t>
        </is>
      </c>
      <c r="C78" s="22" t="inlineStr">
        <is>
          <t>后续：功能增强</t>
        </is>
      </c>
      <c r="D78" s="22" t="inlineStr">
        <is>
          <t>F71</t>
        </is>
      </c>
      <c r="E78" s="22" t="inlineStr">
        <is>
          <t>看图运行设备 P1：自动回退与手动选择</t>
        </is>
      </c>
      <c r="F78" s="22" t="inlineStr">
        <is>
          <t>MagicPrompt/BackendSchema.cs、MagicPrompt/VisionDeviceRules.cs、MagicPrompt/WebAPI/LLMAPICalls.cs、Prompting/PromptService.cs、Studio/studio.js、index.html、lang/en.js、Tests</t>
        </is>
      </c>
      <c r="G78" s="22" t="inlineStr">
        <is>
          <t>T71</t>
        </is>
      </c>
      <c r="H78" s="22" t="inlineStr">
        <is>
          <t>S</t>
        </is>
      </c>
      <c r="I78" s="22" t="inlineStr">
        <is>
          <t>Ollama 请求带 think:false；看图请求 num_ctx 4096；看图超时后向 Ollama 发送卸载请求，放弃等待时取消底层请求；“自动”模式第一次看图在 GPU 上最多 60 秒，超时即卸载并用 num_gpu 0 在 CPU 上重试并记住；“只用 GPU”不回退，“只用 CPU”始终 num_gpu 0；提示词优化设置可选三种设备并显示已自动改用 CPU；接口不返回 Ollama 地址</t>
        </is>
      </c>
      <c r="J78" s="22" t="inlineStr">
        <is>
          <t>C# 测试设备规则；node --test；在 RX 5600 XT 机器上“自动”模式上传参考图：约 60 秒后改用 CPU 出描述，第二张十几秒完成，设置里显示已改用 CPU；NVIDIA 或 Mac 机器上描述仍走 GPU</t>
        </is>
      </c>
      <c r="K7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P1（docs/EcomCraft 参考图需求.zh-CN.md 8.1 节）。
完成后：运行相关测试，执行 git diff --check，按 ecomcraft-docs-sync 技能同步文档，并列出改动文件和你做过的验证。</t>
        </is>
      </c>
      <c r="L78" s="22" t="inlineStr">
        <is>
          <t>已完成</t>
        </is>
      </c>
      <c r="M78" s="22" t="inlineStr">
        <is>
          <t>2026-10-29</t>
        </is>
      </c>
      <c r="N78" s="22" t="inlineStr">
        <is>
          <t>2026-10-29 用户确认方案；提交 0e180dd2、537706f8；RX 5600 XT 机器实测：自动模式 60 秒后改用 CPU，只用 CPU 模式单张约 15–19 秒；推荐改为 Qwen3-VL -instruct 版（原版 think:false 无效）</t>
        </is>
      </c>
    </row>
    <row r="79" s="23">
      <c r="A79" s="22" t="n">
        <v>75</v>
      </c>
      <c r="B79" s="22" t="inlineStr">
        <is>
          <t>T76</t>
        </is>
      </c>
      <c r="C79" s="22" t="inlineStr">
        <is>
          <t>后续：功能增强</t>
        </is>
      </c>
      <c r="D79" s="22" t="inlineStr">
        <is>
          <t>F71</t>
        </is>
      </c>
      <c r="E79" s="22" t="inlineStr">
        <is>
          <t>看图运行设备 P2：实测自检并保存结果</t>
        </is>
      </c>
      <c r="F79" s="22" t="inlineStr">
        <is>
          <t>MagicPrompt/LLMAPICalls.cs、Prompting/PromptService.cs、Studio/studio.js、Tests</t>
        </is>
      </c>
      <c r="G79" s="22" t="inlineStr">
        <is>
          <t>T75</t>
        </is>
      </c>
      <c r="H79" s="22" t="inlineStr">
        <is>
          <t>M</t>
        </is>
      </c>
      <c r="I79" s="22" t="inlineStr">
        <is>
          <t>首次配置、更换模型或 Ollama 版本、显卡变化时自动用内置测试图在 GPU、CPU 上限时实测并选设备；按实测速度设定超时；结果按“Ollama 版本 + 模型 + 显卡 + 驱动”保存在 Data/EcomCraft（只存设备和秒数）；设置显示“看图：GPU / CPU，单张约 X 秒”并可重新检测；运行中的自动回退也写入，重启不再卡一次</t>
        </is>
      </c>
      <c r="J79" s="22" t="inlineStr">
        <is>
          <t>C# 测试保存与读取；更换模型后自动重新检测；重启服务后不再等待 60 秒</t>
        </is>
      </c>
      <c r="K7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P2（docs/EcomCraft 参考图需求.zh-CN.md 8.1 节）。先进入计划模式给出方案，我确认后再实现。
完成后：运行相关测试，执行 git diff --check，按 ecomcraft-docs-sync 技能同步文档，并列出改动文件和你做过的验证。</t>
        </is>
      </c>
      <c r="L79" s="22" t="inlineStr">
        <is>
          <t>未开始</t>
        </is>
      </c>
      <c r="M79" s="22" t="n"/>
      <c r="N79" s="22" t="n"/>
    </row>
    <row r="80" s="23">
      <c r="A80" s="22" t="n">
        <v>76</v>
      </c>
      <c r="B80" s="22" t="inlineStr">
        <is>
          <t>T77</t>
        </is>
      </c>
      <c r="C80" s="22" t="inlineStr">
        <is>
          <t>后续：功能增强</t>
        </is>
      </c>
      <c r="D80" s="22" t="inlineStr">
        <is>
          <t>F71</t>
        </is>
      </c>
      <c r="E80" s="22" t="inlineStr">
        <is>
          <t>看图运行设备 P3：按硬件推荐与显存共用</t>
        </is>
      </c>
      <c r="F80" s="22" t="inlineStr">
        <is>
          <t>Studio/VisionModelInstall.cs、VisionInstallRules.cs、Prompting/PromptService.cs、Studio/studio.js</t>
        </is>
      </c>
      <c r="G80" s="22" t="inlineStr">
        <is>
          <t>T76</t>
        </is>
      </c>
      <c r="H80" s="22" t="inlineStr">
        <is>
          <t>M</t>
        </is>
      </c>
      <c r="I80" s="22" t="inlineStr">
        <is>
          <t>Ollama 与本服务同机时读取显卡厂商、显存或内存，给出初始设备和推荐模型（NVIDIA 按显存、AMD 按 ROCm 支持列表、Intel 和无独显用 CPU、Apple Silicon 按内存）并用于一键安装；与 ComfyUI 共用显卡且显存较小时默认看图走 CPU 或描述完立即卸载</t>
        </is>
      </c>
      <c r="J80" s="22" t="inlineStr">
        <is>
          <t>Windows NVIDIA / AMD、Mac 各验证一次推荐结果；6 GB 显卡上看图与出图交替进行不爆显存</t>
        </is>
      </c>
      <c r="K8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P3（docs/EcomCraft 参考图需求.zh-CN.md 8.1 节）。先进入计划模式给出方案，我确认后再实现。
完成后：运行相关测试，执行 git diff --check，按 ecomcraft-docs-sync 技能同步文档，并列出改动文件和你做过的验证。</t>
        </is>
      </c>
      <c r="L80" s="22" t="inlineStr">
        <is>
          <t>未开始</t>
        </is>
      </c>
      <c r="M80" s="22" t="n"/>
      <c r="N80" s="22" t="n"/>
    </row>
    <row r="81" s="23">
      <c r="A81"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T59 后续、T07 商品保真效果、T62</t>
        </is>
      </c>
      <c r="E14" s="46" t="inlineStr">
        <is>
          <t>未开始</t>
        </is>
      </c>
      <c r="F14" s="44" t="n"/>
      <c r="G14" s="44" t="inlineStr">
        <is>
          <t>2026-10-28 用户：图生图暂无好方案，先放待办</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合计</t>
        </is>
      </c>
      <c r="B11" s="51">
        <f>SUM(B5:B10)</f>
        <v/>
      </c>
      <c r="C11" s="51">
        <f>SUM(C5:C10)</f>
        <v/>
      </c>
      <c r="D11" s="51">
        <f>SUM(D5:D10)</f>
        <v/>
      </c>
      <c r="E11" s="51">
        <f>SUM(E5:E10)</f>
        <v/>
      </c>
      <c r="F11" s="52">
        <f>IF(C11=0,0,D11/C11)</f>
        <v/>
      </c>
    </row>
    <row r="12" ht="17.15" customHeight="1" s="23">
      <c r="A12" s="43" t="inlineStr">
        <is>
          <t>其中 MVP（A + B + C）</t>
        </is>
      </c>
      <c r="B12" s="51">
        <f>SUM(B5:B7)</f>
        <v/>
      </c>
      <c r="C12" s="51">
        <f>SUM(C5:C7)</f>
        <v/>
      </c>
      <c r="D12" s="51">
        <f>SUM(D5:D7)</f>
        <v/>
      </c>
      <c r="E12" s="51">
        <f>SUM(E5:E7)</f>
        <v/>
      </c>
      <c r="F12" s="52">
        <f>IF(C12=0,0,D12/C12)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2026-10-29T13:25:02Z</dcterms:modified>
  <cp:revision>0</cp:revision>
</cp:coreProperties>
</file>