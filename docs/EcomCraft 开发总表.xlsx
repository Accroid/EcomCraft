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使用说明" sheetId="1" state="visible" r:id="rId1"/>
    <sheet name="功能总表" sheetId="2" state="visible" r:id="rId2"/>
    <sheet name="开发任务" sheetId="3" state="visible" r:id="rId3"/>
    <sheet name="非开发事项" sheetId="4" state="visible" r:id="rId4"/>
    <sheet name="竞品分析" sheetId="5" state="visible" r:id="rId5"/>
    <sheet name="测试商品集" sheetId="6" state="visible" r:id="rId6"/>
    <sheet name="品类预设矩阵" sheetId="7" state="visible" r:id="rId7"/>
    <sheet name="阶段汇总" sheetId="8" state="visible" r:id="rId8"/>
    <sheet name="暂不做" sheetId="9" state="visible" r:id="rId9"/>
  </sheets>
  <definedNames>
    <definedName name="_xlnm._FilterDatabase" localSheetId="1" hidden="1">'功能总表'!$A$4:$M$31</definedName>
    <definedName name="_xlnm._FilterDatabase" localSheetId="2" hidden="1">'开发任务'!$A$4:$N$37</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numFmts>
  <fonts count="18">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Noto Sans CJK SC"/>
      <family val="2"/>
      <b val="1"/>
      <sz val="14"/>
    </font>
    <font>
      <name val="Noto Sans CJK SC"/>
      <family val="2"/>
      <b val="1"/>
      <color rgb="FF1F4E78"/>
      <sz val="12"/>
    </font>
    <font>
      <name val="Noto Sans CJK SC"/>
      <family val="2"/>
      <b val="1"/>
      <sz val="11"/>
    </font>
    <font>
      <name val="Arial"/>
      <charset val="1"/>
      <family val="0"/>
      <sz val="11"/>
    </font>
    <font>
      <name val="Noto Sans CJK SC"/>
      <family val="2"/>
      <sz val="11"/>
    </font>
    <font>
      <name val="Arial"/>
      <charset val="1"/>
      <family val="0"/>
      <b val="1"/>
      <sz val="11"/>
    </font>
    <font>
      <name val="Arial"/>
      <charset val="1"/>
      <family val="0"/>
      <b val="1"/>
      <color rgb="FF1F4E78"/>
      <sz val="12"/>
    </font>
    <font>
      <name val="Noto Sans CJK SC"/>
      <family val="2"/>
      <i val="1"/>
      <color rgb="FF595959"/>
      <sz val="11"/>
    </font>
    <font>
      <name val="Noto Sans CJK SC"/>
      <family val="2"/>
      <b val="1"/>
      <color rgb="FFFFFFFF"/>
      <sz val="11"/>
    </font>
    <font>
      <name val="Arial"/>
      <charset val="1"/>
      <family val="0"/>
      <b val="1"/>
      <color rgb="FFFFFFFF"/>
      <sz val="11"/>
    </font>
    <font>
      <name val="Noto Sans CJK SC"/>
      <family val="2"/>
      <b val="1"/>
      <color rgb="FFC00000"/>
      <sz val="11"/>
    </font>
    <font>
      <name val="Arial"/>
      <charset val="1"/>
      <family val="0"/>
      <i val="1"/>
      <color rgb="FF595959"/>
      <sz val="11"/>
    </font>
    <font>
      <name val="Noto Sans CJK SC"/>
      <family val="2"/>
      <color rgb="FF0563C1"/>
      <sz val="11"/>
      <u val="single"/>
    </font>
  </fonts>
  <fills count="4">
    <fill>
      <patternFill/>
    </fill>
    <fill>
      <patternFill patternType="gray125"/>
    </fill>
    <fill>
      <patternFill patternType="solid">
        <fgColor rgb="FF1F4E78"/>
        <bgColor rgb="FF003366"/>
      </patternFill>
    </fill>
    <fill>
      <patternFill patternType="solid">
        <fgColor rgb="FFFFF2CC"/>
        <bgColor rgb="FFFFFFFF"/>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1" applyAlignment="1" pivotButton="0" quotePrefix="0" xfId="0">
      <alignment horizontal="general" vertical="top" wrapText="1"/>
    </xf>
    <xf numFmtId="0" fontId="8" fillId="0" borderId="1" applyAlignment="1" pivotButton="0" quotePrefix="0" xfId="0">
      <alignment horizontal="general" vertical="top" wrapText="1"/>
    </xf>
    <xf numFmtId="0" fontId="9" fillId="0" borderId="1" applyAlignment="1" pivotButton="0" quotePrefix="0" xfId="0">
      <alignment horizontal="general" vertical="top" wrapText="1"/>
    </xf>
    <xf numFmtId="0" fontId="5" fillId="0" borderId="0" applyAlignment="1" pivotButton="0" quotePrefix="0" xfId="0">
      <alignment horizontal="general" vertical="bottom"/>
    </xf>
    <xf numFmtId="0" fontId="12" fillId="0" borderId="0" applyAlignment="1" pivotButton="0" quotePrefix="0" xfId="0">
      <alignment horizontal="general" vertical="bottom"/>
    </xf>
    <xf numFmtId="0" fontId="13" fillId="2" borderId="1" applyAlignment="1" pivotButton="0" quotePrefix="0" xfId="0">
      <alignment horizontal="center" vertical="center" wrapText="1"/>
    </xf>
    <xf numFmtId="0" fontId="8" fillId="0" borderId="1" applyAlignment="1" pivotButton="0" quotePrefix="0" xfId="0">
      <alignment horizontal="center" vertical="top" wrapText="1"/>
    </xf>
    <xf numFmtId="0" fontId="9" fillId="0" borderId="1" applyAlignment="1" pivotButton="0" quotePrefix="0" xfId="0">
      <alignment horizontal="center" vertical="top" wrapText="1"/>
    </xf>
    <xf numFmtId="0" fontId="8" fillId="3" borderId="1" applyAlignment="1" pivotButton="0" quotePrefix="0" xfId="0">
      <alignment horizontal="general" vertical="top" wrapText="1"/>
    </xf>
    <xf numFmtId="0" fontId="15" fillId="0" borderId="1" applyAlignment="1" pivotButton="0" quotePrefix="0" xfId="0">
      <alignment horizontal="general" vertical="top" wrapText="1"/>
    </xf>
    <xf numFmtId="0" fontId="14" fillId="2" borderId="1" applyAlignment="1" pivotButton="0" quotePrefix="0" xfId="0">
      <alignment horizontal="center" vertical="center" wrapText="1"/>
    </xf>
    <xf numFmtId="0" fontId="9" fillId="3" borderId="1" applyAlignment="1" pivotButton="0" quotePrefix="0" xfId="0">
      <alignment horizontal="center" vertical="top" wrapText="1"/>
    </xf>
    <xf numFmtId="164" fontId="8" fillId="3" borderId="1" applyAlignment="1" pivotButton="0" quotePrefix="0" xfId="0">
      <alignment horizontal="general" vertical="top" wrapText="1"/>
    </xf>
    <xf numFmtId="0" fontId="10" fillId="0" borderId="1" applyAlignment="1" pivotButton="0" quotePrefix="0" xfId="0">
      <alignment horizontal="general" vertical="top" wrapText="1"/>
    </xf>
    <xf numFmtId="0" fontId="17" fillId="0" borderId="1" applyAlignment="1" pivotButton="0" quotePrefix="0" xfId="0">
      <alignment horizontal="general" vertical="top" wrapText="1"/>
    </xf>
    <xf numFmtId="9" fontId="10" fillId="0" borderId="1" applyAlignment="1" pivotButton="0" quotePrefix="0" xfId="0">
      <alignment horizontal="general" vertical="top" wrapText="1"/>
    </xf>
    <xf numFmtId="0" fontId="10" fillId="0" borderId="1" applyAlignment="1" pivotButton="0" quotePrefix="0" xfId="0">
      <alignment horizontal="center" vertical="top" wrapText="1"/>
    </xf>
    <xf numFmtId="9" fontId="10" fillId="0" borderId="1" applyAlignment="1" pivotButton="0" quotePrefix="0" xfId="0">
      <alignment horizontal="center" vertical="top" wrapText="1"/>
    </xf>
    <xf numFmtId="9" fontId="8" fillId="0" borderId="1" applyAlignment="1" pivotButton="0" quotePrefix="0" xfId="0">
      <alignment horizontal="center"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1" applyAlignment="1" pivotButton="0" quotePrefix="0" xfId="0">
      <alignment horizontal="general" vertical="top" wrapText="1"/>
    </xf>
    <xf numFmtId="0" fontId="8" fillId="0" borderId="1" applyAlignment="1" pivotButton="0" quotePrefix="0" xfId="0">
      <alignment horizontal="general" vertical="top" wrapText="1"/>
    </xf>
    <xf numFmtId="0" fontId="5" fillId="0" borderId="0" applyAlignment="1" pivotButton="0" quotePrefix="0" xfId="0">
      <alignment horizontal="general" vertical="bottom"/>
    </xf>
    <xf numFmtId="0" fontId="12" fillId="0" borderId="0" applyAlignment="1" pivotButton="0" quotePrefix="0" xfId="0">
      <alignment horizontal="general" vertical="bottom"/>
    </xf>
    <xf numFmtId="0" fontId="13" fillId="2" borderId="1" applyAlignment="1" pivotButton="0" quotePrefix="0" xfId="0">
      <alignment horizontal="center" vertical="center" wrapText="1"/>
    </xf>
    <xf numFmtId="0" fontId="8" fillId="0" borderId="1" applyAlignment="1" pivotButton="0" quotePrefix="0" xfId="0">
      <alignment horizontal="center" vertical="top" wrapText="1"/>
    </xf>
    <xf numFmtId="0" fontId="9" fillId="0" borderId="1" applyAlignment="1" pivotButton="0" quotePrefix="0" xfId="0">
      <alignment horizontal="general" vertical="top" wrapText="1"/>
    </xf>
    <xf numFmtId="0" fontId="9" fillId="0" borderId="1" applyAlignment="1" pivotButton="0" quotePrefix="0" xfId="0">
      <alignment horizontal="center" vertical="top" wrapText="1"/>
    </xf>
    <xf numFmtId="0" fontId="8" fillId="3" borderId="1" applyAlignment="1" pivotButton="0" quotePrefix="0" xfId="0">
      <alignment horizontal="general" vertical="top" wrapText="1"/>
    </xf>
    <xf numFmtId="0" fontId="4" fillId="0" borderId="0" applyAlignment="1" pivotButton="0" quotePrefix="0" xfId="0">
      <alignment horizontal="general" vertical="bottom"/>
    </xf>
    <xf numFmtId="0" fontId="14" fillId="2" borderId="1" applyAlignment="1" pivotButton="0" quotePrefix="0" xfId="0">
      <alignment horizontal="center" vertical="center" wrapText="1"/>
    </xf>
    <xf numFmtId="0" fontId="9" fillId="3" borderId="1" applyAlignment="1" pivotButton="0" quotePrefix="0" xfId="0">
      <alignment horizontal="center" vertical="top" wrapText="1"/>
    </xf>
    <xf numFmtId="164" fontId="8" fillId="3" borderId="1" applyAlignment="1" pivotButton="0" quotePrefix="0" xfId="0">
      <alignment horizontal="general" vertical="top" wrapText="1"/>
    </xf>
    <xf numFmtId="0" fontId="10" fillId="0" borderId="1" applyAlignment="1" pivotButton="0" quotePrefix="0" xfId="0">
      <alignment horizontal="general" vertical="top" wrapText="1"/>
    </xf>
    <xf numFmtId="0" fontId="9" fillId="0" borderId="1" applyAlignment="1" pivotButton="0" quotePrefix="0" xfId="0">
      <alignment horizontal="general" vertical="top" wrapText="1"/>
    </xf>
    <xf numFmtId="0" fontId="17" fillId="0" borderId="1" applyAlignment="1" pivotButton="0" quotePrefix="0" xfId="0">
      <alignment horizontal="general" vertical="top" wrapText="1"/>
    </xf>
    <xf numFmtId="0" fontId="8" fillId="0" borderId="1" applyAlignment="1" pivotButton="0" quotePrefix="0" xfId="0">
      <alignment horizontal="general" vertical="top" wrapText="1"/>
    </xf>
    <xf numFmtId="0" fontId="7" fillId="0" borderId="1" applyAlignment="1" pivotButton="0" quotePrefix="0" xfId="0">
      <alignment horizontal="general" vertical="top" wrapText="1"/>
    </xf>
    <xf numFmtId="0" fontId="8" fillId="3" borderId="1" applyAlignment="1" pivotButton="0" quotePrefix="0" xfId="0">
      <alignment horizontal="general" vertical="top" wrapText="1"/>
    </xf>
    <xf numFmtId="9" fontId="10" fillId="0" borderId="1" applyAlignment="1" pivotButton="0" quotePrefix="0" xfId="0">
      <alignment horizontal="general" vertical="top" wrapText="1"/>
    </xf>
    <xf numFmtId="0" fontId="9" fillId="3" borderId="1" applyAlignment="1" pivotButton="0" quotePrefix="0" xfId="0">
      <alignment horizontal="center" vertical="top" wrapText="1"/>
    </xf>
    <xf numFmtId="0" fontId="8" fillId="0" borderId="1" applyAlignment="1" pivotButton="0" quotePrefix="0" xfId="0">
      <alignment horizontal="center" vertical="top" wrapText="1"/>
    </xf>
    <xf numFmtId="0" fontId="10" fillId="0" borderId="1" applyAlignment="1" pivotButton="0" quotePrefix="0" xfId="0">
      <alignment horizontal="center" vertical="top" wrapText="1"/>
    </xf>
    <xf numFmtId="9" fontId="10" fillId="0" borderId="1" applyAlignment="1" pivotButton="0" quotePrefix="0" xfId="0">
      <alignment horizontal="center" vertical="top" wrapText="1"/>
    </xf>
    <xf numFmtId="9" fontId="8" fillId="0" borderId="1" applyAlignment="1" pivotButton="0" quotePrefix="0" xfId="0">
      <alignment horizontal="center" vertical="top" wrapText="1"/>
    </xf>
    <xf numFmtId="0" fontId="10" fillId="0" borderId="1" applyAlignment="1" pivotButton="0" quotePrefix="0" xfId="0">
      <alignment horizontal="center" vertical="top" wrapText="1"/>
    </xf>
    <xf numFmtId="9" fontId="10" fillId="0" borderId="1" applyAlignment="1" pivotButton="0" quotePrefix="0" xfId="0">
      <alignment horizontal="center"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9">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
      <fill>
        <patternFill patternType="solid">
          <fgColor rgb="FFC00000"/>
          <bgColor rgb="FF000000"/>
        </patternFill>
      </fill>
    </dxf>
    <dxf>
      <fill>
        <patternFill patternType="solid">
          <fgColor rgb="FFFFF2CC"/>
          <bgColor rgb="FF000000"/>
        </patternFill>
      </fill>
    </dxf>
    <dxf>
      <fill>
        <patternFill>
          <bgColor rgb="FFC6EFCE"/>
        </patternFill>
      </fill>
    </dxf>
    <dxf>
      <fill>
        <patternFill>
          <bgColor rgb="FFBDD7EE"/>
        </patternFill>
      </fill>
    </dxf>
    <dxf>
      <font>
        <color rgb="FF006100"/>
      </font>
      <fill>
        <patternFill patternType="solid">
          <fgColor rgb="FFC6EFCE"/>
        </patternFill>
      </fill>
    </dxf>
    <dxf>
      <font>
        <color rgb="FF9C5700"/>
      </font>
      <fill>
        <patternFill patternType="solid">
          <fgColor rgb="FFFFEB9C"/>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D0D0D0"/>
      <rgbColor rgb="FF808080"/>
      <rgbColor rgb="FF9999FF"/>
      <rgbColor rgb="FF993366"/>
      <rgbColor rgb="FFFFF2CC"/>
      <rgbColor rgb="FFCCFFFF"/>
      <rgbColor rgb="FF660066"/>
      <rgbColor rgb="FFFF8080"/>
      <rgbColor rgb="FF0563C1"/>
      <rgbColor rgb="FFBDD7EE"/>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8"/>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5.xml.rels><Relationships xmlns="http://schemas.openxmlformats.org/package/2006/relationships"><Relationship Type="http://schemas.openxmlformats.org/officeDocument/2006/relationships/hyperlink" Target="https://blog.comfy.org/p/from-workflow-to-app-introducing" TargetMode="External" Id="rId1" /><Relationship Type="http://schemas.openxmlformats.org/officeDocument/2006/relationships/hyperlink" Target="https://skillsllm.com/skill/ecomgen" TargetMode="External" Id="rId2" /><Relationship Type="http://schemas.openxmlformats.org/officeDocument/2006/relationships/hyperlink" Target="https://gittrend.io/repo/wzj177/ecommerce-image-suite" TargetMode="External" Id="rId3" /><Relationship Type="http://schemas.openxmlformats.org/officeDocument/2006/relationships/hyperlink" Target="https://support.invoke.ai/support/solutions/articles/151000096643-what-subscription-plans-are-available-and-what-features-are-included-in-each-plan-" TargetMode="External" Id="rId4" /><Relationship Type="http://schemas.openxmlformats.org/officeDocument/2006/relationships/hyperlink" Target="https://ecommercefastlane.com/photoroom-review/" TargetMode="External" Id="rId5" /><Relationship Type="http://schemas.openxmlformats.org/officeDocument/2006/relationships/hyperlink" Target="https://claid.ai/blog/article/claid-vs-photoroom" TargetMode="External" Id="rId6" /><Relationship Type="http://schemas.openxmlformats.org/officeDocument/2006/relationships/hyperlink" Target="https://gitcode.csdn.net/6a2bc33810ee7a33f27bbd7b.html" TargetMode="External" Id="rId7" /><Relationship Type="http://schemas.openxmlformats.org/officeDocument/2006/relationships/hyperlink" Target="https://gitcode.csdn.net/6a2bc33810ee7a33f27bbd7b.html" TargetMode="External" Id="rId8" /><Relationship Type="http://schemas.openxmlformats.org/officeDocument/2006/relationships/hyperlink" Target="https://gitcode.csdn.net/6a2bc33810ee7a33f27bbd7b.html" TargetMode="External" Id="rId9" /><Relationship Type="http://schemas.openxmlformats.org/officeDocument/2006/relationships/hyperlink" Target="https://gitcode.csdn.net/6a2bc33810ee7a33f27bbd7b.html" TargetMode="External" Id="rId10" /></Relationships>
</file>

<file path=xl/worksheets/sheet1.xml><?xml version="1.0" encoding="utf-8"?>
<worksheet xmlns="http://schemas.openxmlformats.org/spreadsheetml/2006/main">
  <sheetPr filterMode="0">
    <outlinePr summaryBelow="1" summaryRight="1"/>
    <pageSetUpPr fitToPage="0"/>
  </sheetPr>
  <dimension ref="A1:B3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4" customWidth="1" style="22" min="1" max="1"/>
    <col width="100" customWidth="1" style="22" min="2" max="2"/>
  </cols>
  <sheetData>
    <row r="1" ht="21.6" customHeight="1" s="23">
      <c r="A1" s="35" t="inlineStr">
        <is>
          <t>EcomCraft 开发总表 · 使用说明</t>
        </is>
      </c>
    </row>
    <row r="2" ht="19.4" customHeight="1" s="23">
      <c r="A2" s="25" t="inlineStr">
        <is>
          <t>这张表包含什么</t>
        </is>
      </c>
    </row>
    <row r="3" ht="35" customHeight="1" s="23">
      <c r="A3" s="43" t="inlineStr">
        <is>
          <t>功能总表</t>
        </is>
      </c>
      <c r="B3" s="42" t="inlineStr">
        <is>
          <t>54 项功能，按 7 个阶段排列，其中 MVP（A 平台底座、B 电商出图、C 易用与运维）27 项；简易模式改版 v3（F52–F57）6 项中 5 项代码已完成、F57 暂缓；后续增强中 F25、F12、F47 代码已完成，F04 服务端已完成。“功能状态”根据开发任务自动计算，不用手填</t>
        </is>
      </c>
    </row>
    <row r="4" ht="35" customHeight="1" s="23">
      <c r="A4" s="43" t="inlineStr">
        <is>
          <t>开发任务</t>
        </is>
      </c>
      <c r="B4" s="42" t="inlineStr">
        <is>
          <t>58 个可直接交给 Claude Code 的任务（MVP 30 个），按“顺序”列执行；每个任务都有涉及文件、依赖、验收标准、测试方式和可直接粘贴的提示词</t>
        </is>
      </c>
    </row>
    <row r="5" ht="19.5" customHeight="1" s="23">
      <c r="A5" s="43" t="inlineStr">
        <is>
          <t>非开发事项</t>
        </is>
      </c>
      <c r="B5" s="42" t="inlineStr">
        <is>
          <t>需要你自己完成的事（选模型、委托做工作流、收集测试商品、准备测试环境等），部分开发任务依赖它们</t>
        </is>
      </c>
    </row>
    <row r="6" ht="19.5" customHeight="1" s="23">
      <c r="A6" s="43" t="inlineStr">
        <is>
          <t>竞品分析</t>
        </is>
      </c>
      <c r="B6" s="42" t="inlineStr">
        <is>
          <t>10 个竞品的优势、短板与对我们的启示，附来源链接</t>
        </is>
      </c>
    </row>
    <row r="7" ht="35" customHeight="1" s="23">
      <c r="A7" s="43" t="inlineStr">
        <is>
          <t>测试商品集 / 品类预设矩阵</t>
        </is>
      </c>
      <c r="B7" s="42" t="inlineStr">
        <is>
          <t>模板质量测试与品类调优的进度跟踪</t>
        </is>
      </c>
    </row>
    <row r="8" ht="19.5" customHeight="1" s="23">
      <c r="A8" s="43" t="inlineStr">
        <is>
          <t>阶段汇总</t>
        </is>
      </c>
      <c r="B8" s="42" t="inlineStr">
        <is>
          <t>各阶段功能数、任务完成情况与收入来源，自动计算</t>
        </is>
      </c>
    </row>
    <row r="9" ht="19.5" customHeight="1" s="23">
      <c r="A9" s="43" t="inlineStr">
        <is>
          <t>暂不做</t>
        </is>
      </c>
      <c r="B9" s="42" t="inlineStr">
        <is>
          <t>明确先不做的事情和原因</t>
        </is>
      </c>
    </row>
    <row r="10" ht="19.4" customHeight="1" s="23">
      <c r="A10" s="25" t="inlineStr">
        <is>
          <t>相关文档</t>
        </is>
      </c>
    </row>
    <row r="11" ht="50.5" customHeight="1" s="23">
      <c r="A11" s="43" t="inlineStr">
        <is>
          <t>架构与路线图</t>
        </is>
      </c>
      <c r="B11" s="42" t="inlineStr">
        <is>
          <t>docs/EcomCraft Architecture.zh-CN.md（英文版 docs/EcomCraft Architecture.md）：产品定位、部署拓扑、分层架构、MVP 范围；功能编号与本表一致</t>
        </is>
      </c>
    </row>
    <row r="12" ht="50.5" customHeight="1" s="23">
      <c r="A12" s="43" t="inlineStr">
        <is>
          <t>局域网平台需求</t>
        </is>
      </c>
      <c r="B12" s="42" t="inlineStr">
        <is>
          <t>docs/EcomCraft 局域网多服务器平台需求.zh-CN.md（英文版 docs/EcomCraft LAN Multi-Server Platform Requirements.md）：执行服务器、审核、调度、存储的详细需求</t>
        </is>
      </c>
    </row>
    <row r="13" ht="19.5" customHeight="1" s="23">
      <c r="A13" s="22" t="inlineStr">
        <is>
          <t>简易模式改版需求</t>
        </is>
      </c>
      <c r="B13" s="22" t="inlineStr">
        <is>
          <t>docs/EcomCraft 简易模式改版需求.zh-CN.md（英文版 docs/EcomCraft Simple Mode Redesign.md）：简易模式 v3 改版（上传四入口、产品类型、双语提示词、20 张上限、出图提速、工作流自动生成）的需求定稿；交互原型 docs/EcomCraft 简易模式改版原型.html</t>
        </is>
      </c>
    </row>
    <row r="14" ht="19.4" customHeight="1" s="23">
      <c r="A14" s="43" t="inlineStr">
        <is>
          <t>本表位置</t>
        </is>
      </c>
      <c r="B14" s="42" t="inlineStr">
        <is>
          <t>docs/EcomCraft 开发总表.xlsx，随仓库提交到 dev 分支</t>
        </is>
      </c>
    </row>
    <row r="15" ht="19.5" customHeight="1" s="23">
      <c r="A15" s="25" t="inlineStr">
        <is>
          <t>填写约定</t>
        </is>
      </c>
    </row>
    <row r="16" ht="35" customHeight="1" s="23">
      <c r="A16" s="43" t="inlineStr">
        <is>
          <t>黄色单元格</t>
        </is>
      </c>
      <c r="B16" s="42" t="inlineStr">
        <is>
          <t>由你填写；“状态”列从下拉菜单选择（未开始 / 进行中 / 已完成 / 暂缓）</t>
        </is>
      </c>
    </row>
    <row r="17" ht="19.4" customHeight="1" s="23">
      <c r="A17" s="43" t="inlineStr">
        <is>
          <t>编号规则</t>
        </is>
      </c>
      <c r="B17" s="42" t="inlineStr">
        <is>
          <t>F = 功能，T = 开发任务，N = 非开发事项，S = 痛点解决方案；编号不复用，合并或取消的项在备注中说明</t>
        </is>
      </c>
    </row>
    <row r="18" ht="19.5" customHeight="1" s="23">
      <c r="A18" s="25" t="inlineStr">
        <is>
          <t>用 Claude Code 开发的流程</t>
        </is>
      </c>
    </row>
    <row r="19" ht="19.5" customHeight="1" s="23">
      <c r="A19" s="43" t="inlineStr">
        <is>
          <t>第 1 步</t>
        </is>
      </c>
      <c r="B19" s="42" t="inlineStr">
        <is>
          <t>先做 T00：在仓库根目录建 CLAUDE.md，并用 @AGENTS.md 导入现有规则</t>
        </is>
      </c>
    </row>
    <row r="20" ht="35" customHeight="1" s="23">
      <c r="A20" s="43" t="inlineStr">
        <is>
          <t>第 2 步</t>
        </is>
      </c>
      <c r="B20" s="42" t="inlineStr">
        <is>
          <t>按“顺序”列一次只做一个任务；每个任务开一个新会话，避免上下文混在一起</t>
        </is>
      </c>
    </row>
    <row r="21" ht="35" customHeight="1" s="23">
      <c r="A21" s="43" t="inlineStr">
        <is>
          <t>第 3 步</t>
        </is>
      </c>
      <c r="B21" s="42" t="inlineStr">
        <is>
          <t>复制该任务的“Claude Code 提示词”粘贴进去；大多数提示词会让 Claude 先进入计划模式出方案，你看过确认后再让它写代码</t>
        </is>
      </c>
    </row>
    <row r="22" ht="19.5" customHeight="1" s="23">
      <c r="A22" s="43" t="inlineStr">
        <is>
          <t>第 4 步</t>
        </is>
      </c>
      <c r="B22" s="42" t="inlineStr">
        <is>
          <t>Claude 完成后，按“测试方式”列自己验证；涉及 GPU 生成的效果必须实际跑一遍，涉及多机的要在两台电脑上验证</t>
        </is>
      </c>
    </row>
    <row r="23" ht="19.5" customHeight="1" s="23">
      <c r="A23" s="43" t="inlineStr">
        <is>
          <t>第 5 步</t>
        </is>
      </c>
      <c r="B23" s="42" t="inlineStr">
        <is>
          <t>验证通过后一个任务做一次提交（dev 分支），再把任务状态改为“已完成”</t>
        </is>
      </c>
    </row>
    <row r="24" ht="19.5" customHeight="1" s="23">
      <c r="A24" s="43" t="inlineStr">
        <is>
          <t>第 6 步</t>
        </is>
      </c>
      <c r="B24" s="42" t="inlineStr">
        <is>
          <t>“依赖”列中的任务未完成前不要开始；N 开头的依赖是非开发事项</t>
        </is>
      </c>
    </row>
    <row r="25" ht="19.4" customHeight="1" s="23">
      <c r="A25" s="43" t="inlineStr">
        <is>
          <t>第 7 步</t>
        </is>
      </c>
      <c r="B25" s="42" t="inlineStr">
        <is>
          <t>每个任务涉及的文档都要中英文同步更新</t>
        </is>
      </c>
    </row>
    <row r="26" ht="35" customHeight="1" s="23">
      <c r="A26" s="25" t="inlineStr">
        <is>
          <t>注意事项</t>
        </is>
      </c>
    </row>
    <row r="27" ht="19.5" customHeight="1" s="23">
      <c r="A27" s="43" t="inlineStr">
        <is>
          <t>重新构建</t>
        </is>
      </c>
      <c r="B27" s="42" t="inlineStr">
        <is>
          <t>修改 src/Extensions/EcomCraft/ 的 C# 代码后，需按 AGENTS.md 重新构建扩展，否则会加载旧程序集</t>
        </is>
      </c>
    </row>
    <row r="28" ht="19.5" customHeight="1" s="23">
      <c r="A28" s="43" t="inlineStr">
        <is>
          <t>用户数据</t>
        </is>
      </c>
      <c r="B28" s="42" t="inlineStr">
        <is>
          <t>不要让 Claude 修改 Data/、Models/、Output/ 中的内容</t>
        </is>
      </c>
    </row>
    <row r="29" ht="19.5" customHeight="1" s="23">
      <c r="A29" s="43" t="inlineStr">
        <is>
          <t>规则变更</t>
        </is>
      </c>
      <c r="B29" s="42" t="inlineStr">
        <is>
          <t>T08、T09、T29 会修改需求文档或 AGENTS.md 中的规则，务必自己审阅后再同意</t>
        </is>
      </c>
    </row>
    <row r="30">
      <c r="A30" s="43" t="inlineStr">
        <is>
          <t>范围变更</t>
        </is>
      </c>
      <c r="B30" s="42" t="inlineStr">
        <is>
          <t>先改架构文档和需求文档（中英文），再改本表，最后改代码</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M71"/>
  <sheetViews>
    <sheetView showFormulas="0" showGridLines="1" showRowColHeaders="1" showZeros="1" rightToLeft="0" tabSelected="0" showOutlineSymbols="1" defaultGridColor="1"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baseColWidth="8" defaultColWidth="8.6796875" defaultRowHeight="15" zeroHeight="0" outlineLevelRow="0"/>
  <cols>
    <col width="7" customWidth="1" style="22" min="1" max="1"/>
    <col width="22" customWidth="1" style="22" min="2" max="3"/>
    <col width="50" customWidth="1" style="22" min="4" max="4"/>
    <col width="30" customWidth="1" style="22" min="5" max="5"/>
    <col width="8" customWidth="1" style="22" min="6" max="6"/>
    <col width="10" customWidth="1" style="22" min="7" max="7"/>
    <col width="22" customWidth="1" style="22" min="8" max="8"/>
    <col width="16" customWidth="1" style="22" min="9" max="9"/>
    <col width="7" customWidth="1" style="22" min="10" max="10"/>
    <col width="10" customWidth="1" style="22" min="11" max="12"/>
    <col width="20" customWidth="1" style="22" min="13" max="13"/>
  </cols>
  <sheetData>
    <row r="1" ht="17.35" customHeight="1" s="23">
      <c r="A1" s="28" t="inlineStr">
        <is>
          <t>功能总表</t>
        </is>
      </c>
    </row>
    <row r="2" ht="15" customHeight="1" s="23">
      <c r="A2" s="29" t="inlineStr">
        <is>
          <t>“功能状态”与“任务数”由开发任务表自动计算；负责人、备注由你填写。</t>
        </is>
      </c>
    </row>
    <row r="4" ht="48.5" customHeight="1" s="23">
      <c r="A4" s="30" t="inlineStr">
        <is>
          <t>编号</t>
        </is>
      </c>
      <c r="B4" s="30" t="inlineStr">
        <is>
          <t>阶段</t>
        </is>
      </c>
      <c r="C4" s="30" t="inlineStr">
        <is>
          <t>功能</t>
        </is>
      </c>
      <c r="D4" s="30" t="inlineStr">
        <is>
          <t>说明</t>
        </is>
      </c>
      <c r="E4" s="30" t="inlineStr">
        <is>
          <t>基础 / 关联代码</t>
        </is>
      </c>
      <c r="F4" s="30" t="inlineStr">
        <is>
          <t>优先级</t>
        </is>
      </c>
      <c r="G4" s="30" t="inlineStr">
        <is>
          <t>标签</t>
        </is>
      </c>
      <c r="H4" s="30" t="inlineStr">
        <is>
          <t>来源</t>
        </is>
      </c>
      <c r="I4" s="30" t="inlineStr">
        <is>
          <t>对应开发任务</t>
        </is>
      </c>
      <c r="J4" s="30" t="inlineStr">
        <is>
          <t>任务数</t>
        </is>
      </c>
      <c r="K4" s="30" t="inlineStr">
        <is>
          <t>功能状态</t>
        </is>
      </c>
      <c r="L4" s="30" t="inlineStr">
        <is>
          <t>负责人</t>
        </is>
      </c>
      <c r="M4" s="30" t="inlineStr">
        <is>
          <t>备注</t>
        </is>
      </c>
    </row>
    <row r="5" ht="81.5" customHeight="1" s="23">
      <c r="A5" s="47" t="inlineStr">
        <is>
          <t>F28</t>
        </is>
      </c>
      <c r="B5" s="40" t="inlineStr">
        <is>
          <t>MVP-A：平台底座</t>
        </is>
      </c>
      <c r="C5" s="40" t="inlineStr">
        <is>
          <t>局域网多服务器实测</t>
        </is>
      </c>
      <c r="D5" s="40" t="inlineStr">
        <is>
          <t>编译并在真实 ComfyUI 上验证已完成的步骤 1–3（执行服务器登记、工作流发现、审核与快照），补齐 V1–V3 结论</t>
        </is>
      </c>
      <c r="E5" s="40" t="inlineStr">
        <is>
          <t>ExecutionServers.cs、WorkflowDiscovery.cs、WorkflowReview*.cs</t>
        </is>
      </c>
      <c r="F5" s="33" t="inlineStr">
        <is>
          <t>高</t>
        </is>
      </c>
      <c r="G5" s="42" t="inlineStr"/>
      <c r="H5" s="40" t="inlineStr">
        <is>
          <t>需求文档步骤 0–3</t>
        </is>
      </c>
      <c r="I5" s="42" t="inlineStr">
        <is>
          <t>T33</t>
        </is>
      </c>
      <c r="J5" s="47">
        <f>COUNTIF(开发任务!$D$5:$D$200,A5)</f>
        <v/>
      </c>
      <c r="K5" s="33">
        <f>IF(J5=0,"—",IF(COUNTIFS(开发任务!$D$5:$D$200,A5,开发任务!$L$5:$L$200,"暂缓")=J5,"暂缓",IF(COUNTIFS(开发任务!$D$5:$D$200,A5,开发任务!$L$5:$L$200,"未开始")=J5,"未开始",IF(COUNTIFS(开发任务!$D$5:$D$200,A5,开发任务!$L$5:$L$200,"已完成")=J5,"已完成",IF(COUNTIFS(开发任务!$D$5:$D$200,A5,开发任务!$L$5:$L$200,"已完成")+COUNTIFS(开发任务!$D$5:$D$200,A5,开发任务!$L$5:$L$200,"暂缓")=J5,"已完成（暂缓）","进行中")))))</f>
        <v/>
      </c>
      <c r="L5" s="44" t="n"/>
      <c r="M5" s="44" t="inlineStr">
        <is>
          <t>A10（2026-10-28）：多机实测暂缓，等客户需求或 N08 环境；架构与代码支持保留</t>
        </is>
      </c>
    </row>
    <row r="6" ht="50.5" customHeight="1" s="23">
      <c r="A6" s="47" t="inlineStr">
        <is>
          <t>F29</t>
        </is>
      </c>
      <c r="B6" s="40" t="inlineStr">
        <is>
          <t>MVP-A：平台底座</t>
        </is>
      </c>
      <c r="C6" s="40" t="inlineStr">
        <is>
          <t>调用与自动调度</t>
        </is>
      </c>
      <c r="D6" s="40" t="inlineStr">
        <is>
          <t>规则 1：分派到排队最少且具备所需节点和模型的执行服务器；执行方抽象预留云端类型（不实现）</t>
        </is>
      </c>
      <c r="E6" s="40" t="inlineStr">
        <is>
          <t>ExecutionServers.cs；新增 Studio/Generation/</t>
        </is>
      </c>
      <c r="F6" s="33" t="inlineStr">
        <is>
          <t>高</t>
        </is>
      </c>
      <c r="G6" s="42" t="inlineStr"/>
      <c r="H6" s="40" t="inlineStr">
        <is>
          <t>需求文档步骤 4</t>
        </is>
      </c>
      <c r="I6" s="42" t="inlineStr">
        <is>
          <t>T34</t>
        </is>
      </c>
      <c r="J6" s="47">
        <f>COUNTIF(开发任务!$D$5:$D$200,A6)</f>
        <v/>
      </c>
      <c r="K6" s="33">
        <f>IF(J6=0,"—",IF(COUNTIFS(开发任务!$D$5:$D$200,A6,开发任务!$L$5:$L$200,"暂缓")=J6,"暂缓",IF(COUNTIFS(开发任务!$D$5:$D$200,A6,开发任务!$L$5:$L$200,"未开始")=J6,"未开始",IF(COUNTIFS(开发任务!$D$5:$D$200,A6,开发任务!$L$5:$L$200,"已完成")=J6,"已完成",IF(COUNTIFS(开发任务!$D$5:$D$200,A6,开发任务!$L$5:$L$200,"已完成")+COUNTIFS(开发任务!$D$5:$D$200,A6,开发任务!$L$5:$L$200,"暂缓")=J6,"已完成（暂缓）","进行中")))))</f>
        <v/>
      </c>
      <c r="L6" s="44" t="n"/>
      <c r="M6" s="44" t="inlineStr">
        <is>
          <t>原 F15（多机多显卡管理）已并入</t>
        </is>
      </c>
    </row>
    <row r="7" ht="50.5" customHeight="1" s="23">
      <c r="A7" s="47" t="inlineStr">
        <is>
          <t>F30</t>
        </is>
      </c>
      <c r="B7" s="40" t="inlineStr">
        <is>
          <t>MVP-A：平台底座</t>
        </is>
      </c>
      <c r="C7" s="40" t="inlineStr">
        <is>
          <t>队列、失败改派与画廊</t>
        </is>
      </c>
      <c r="D7" s="40" t="inlineStr">
        <is>
          <t>多服务器队列、掉线报失败并可改派、画廊显示实际执行服务器</t>
        </is>
      </c>
      <c r="E7" s="40" t="inlineStr">
        <is>
          <t>studio.js、StudioApi.cs</t>
        </is>
      </c>
      <c r="F7" s="33" t="inlineStr">
        <is>
          <t>高</t>
        </is>
      </c>
      <c r="G7" s="42" t="inlineStr"/>
      <c r="H7" s="40" t="inlineStr">
        <is>
          <t>需求文档步骤 5</t>
        </is>
      </c>
      <c r="I7" s="42" t="inlineStr">
        <is>
          <t>T35</t>
        </is>
      </c>
      <c r="J7" s="47">
        <f>COUNTIF(开发任务!$D$5:$D$200,A7)</f>
        <v/>
      </c>
      <c r="K7" s="33">
        <f>IF(J7=0,"—",IF(COUNTIFS(开发任务!$D$5:$D$200,A7,开发任务!$L$5:$L$200,"暂缓")=J7,"暂缓",IF(COUNTIFS(开发任务!$D$5:$D$200,A7,开发任务!$L$5:$L$200,"未开始")=J7,"未开始",IF(COUNTIFS(开发任务!$D$5:$D$200,A7,开发任务!$L$5:$L$200,"已完成")=J7,"已完成",IF(COUNTIFS(开发任务!$D$5:$D$200,A7,开发任务!$L$5:$L$200,"已完成")+COUNTIFS(开发任务!$D$5:$D$200,A7,开发任务!$L$5:$L$200,"暂缓")=J7,"已完成（暂缓）","进行中")))))</f>
        <v/>
      </c>
      <c r="L7" s="44" t="n"/>
      <c r="M7" s="44" t="n"/>
    </row>
    <row r="8" ht="50.5" customHeight="1" s="23">
      <c r="A8" s="47" t="inlineStr">
        <is>
          <t>F31</t>
        </is>
      </c>
      <c r="B8" s="40" t="inlineStr">
        <is>
          <t>MVP-A：平台底座</t>
        </is>
      </c>
      <c r="C8" s="40" t="inlineStr">
        <is>
          <t>多人登录与局域网部署</t>
        </is>
      </c>
      <c r="D8" s="40" t="inlineStr">
        <is>
          <t>账号登录、排队上限、防火墙、共享存储可见性与局域网 HTTPS 限制的部署指南</t>
        </is>
      </c>
      <c r="E8" s="40" t="inlineStr">
        <is>
          <t>SwarmUI 账号系统；中英文部署文档</t>
        </is>
      </c>
      <c r="F8" s="33" t="inlineStr">
        <is>
          <t>高</t>
        </is>
      </c>
      <c r="G8" s="42" t="inlineStr"/>
      <c r="H8" s="40" t="inlineStr">
        <is>
          <t>需求文档步骤 6</t>
        </is>
      </c>
      <c r="I8" s="42" t="inlineStr">
        <is>
          <t>T36</t>
        </is>
      </c>
      <c r="J8" s="47">
        <f>COUNTIF(开发任务!$D$5:$D$200,A8)</f>
        <v/>
      </c>
      <c r="K8" s="33">
        <f>IF(J8=0,"—",IF(COUNTIFS(开发任务!$D$5:$D$200,A8,开发任务!$L$5:$L$200,"暂缓")=J8,"暂缓",IF(COUNTIFS(开发任务!$D$5:$D$200,A8,开发任务!$L$5:$L$200,"未开始")=J8,"未开始",IF(COUNTIFS(开发任务!$D$5:$D$200,A8,开发任务!$L$5:$L$200,"已完成")=J8,"已完成",IF(COUNTIFS(开发任务!$D$5:$D$200,A8,开发任务!$L$5:$L$200,"已完成")+COUNTIFS(开发任务!$D$5:$D$200,A8,开发任务!$L$5:$L$200,"暂缓")=J8,"已完成（暂缓）","进行中")))))</f>
        <v/>
      </c>
      <c r="L8" s="44" t="n"/>
      <c r="M8" s="44" t="n"/>
    </row>
    <row r="9" ht="50.5" customHeight="1" s="23">
      <c r="A9" s="47" t="inlineStr">
        <is>
          <t>F32</t>
        </is>
      </c>
      <c r="B9" s="40" t="inlineStr">
        <is>
          <t>MVP-A：平台底座</t>
        </is>
      </c>
      <c r="C9" s="40" t="inlineStr">
        <is>
          <t>作品存储位置</t>
        </is>
      </c>
      <c r="D9" s="40" t="inlineStr">
        <is>
          <t>作品库与导出位置可设为本机（默认）、NAS 或其他电脑的共享文件夹；先本地后同步；系统数据固定本机</t>
        </is>
      </c>
      <c r="E9" s="40" t="inlineStr">
        <is>
          <t>新增 Studio/Storage/</t>
        </is>
      </c>
      <c r="F9" s="33" t="inlineStr">
        <is>
          <t>高</t>
        </is>
      </c>
      <c r="G9" s="42" t="inlineStr">
        <is>
          <t>运营友好</t>
        </is>
      </c>
      <c r="H9" s="40" t="inlineStr">
        <is>
          <t>需求文档 R11（2026-10-27 讨论）</t>
        </is>
      </c>
      <c r="I9" s="42" t="inlineStr">
        <is>
          <t>T37</t>
        </is>
      </c>
      <c r="J9" s="47">
        <f>COUNTIF(开发任务!$D$5:$D$200,A9)</f>
        <v/>
      </c>
      <c r="K9" s="33">
        <f>IF(J9=0,"—",IF(COUNTIFS(开发任务!$D$5:$D$200,A9,开发任务!$L$5:$L$200,"暂缓")=J9,"暂缓",IF(COUNTIFS(开发任务!$D$5:$D$200,A9,开发任务!$L$5:$L$200,"未开始")=J9,"未开始",IF(COUNTIFS(开发任务!$D$5:$D$200,A9,开发任务!$L$5:$L$200,"已完成")=J9,"已完成",IF(COUNTIFS(开发任务!$D$5:$D$200,A9,开发任务!$L$5:$L$200,"已完成")+COUNTIFS(开发任务!$D$5:$D$200,A9,开发任务!$L$5:$L$200,"暂缓")=J9,"已完成（暂缓）","进行中")))))</f>
        <v/>
      </c>
      <c r="L9" s="44" t="n"/>
      <c r="M9" s="44" t="n"/>
    </row>
    <row r="10" ht="50.5" customHeight="1" s="23">
      <c r="A10" s="47" t="inlineStr">
        <is>
          <t>F24</t>
        </is>
      </c>
      <c r="B10" s="40" t="inlineStr">
        <is>
          <t>MVP-A：平台底座</t>
        </is>
      </c>
      <c r="C10" s="40" t="inlineStr">
        <is>
          <t>工作台中英文界面</t>
        </is>
      </c>
      <c r="D10" s="40" t="inlineStr">
        <is>
          <t>翻译表骨架，现有文字迁入并补齐英文；之后新功能直接双语开发</t>
        </is>
      </c>
      <c r="E10" s="40" t="inlineStr">
        <is>
          <t>Studio/index.html、studio.js、languages/</t>
        </is>
      </c>
      <c r="F10" s="33" t="inlineStr">
        <is>
          <t>高</t>
        </is>
      </c>
      <c r="G10" s="42" t="inlineStr">
        <is>
          <t>海外必做</t>
        </is>
      </c>
      <c r="H10" s="40" t="inlineStr">
        <is>
          <t>海外市场分析</t>
        </is>
      </c>
      <c r="I10" s="42" t="inlineStr">
        <is>
          <t>T22</t>
        </is>
      </c>
      <c r="J10" s="47">
        <f>COUNTIF(开发任务!$D$5:$D$200,A10)</f>
        <v/>
      </c>
      <c r="K10" s="33">
        <f>IF(J10=0,"—",IF(COUNTIFS(开发任务!$D$5:$D$200,A10,开发任务!$L$5:$L$200,"暂缓")=J10,"暂缓",IF(COUNTIFS(开发任务!$D$5:$D$200,A10,开发任务!$L$5:$L$200,"未开始")=J10,"未开始",IF(COUNTIFS(开发任务!$D$5:$D$200,A10,开发任务!$L$5:$L$200,"已完成")=J10,"已完成",IF(COUNTIFS(开发任务!$D$5:$D$200,A10,开发任务!$L$5:$L$200,"已完成")+COUNTIFS(开发任务!$D$5:$D$200,A10,开发任务!$L$5:$L$200,"暂缓")=J10,"已完成（暂缓）","进行中")))))</f>
        <v/>
      </c>
      <c r="L10" s="44" t="n"/>
      <c r="M10" s="44" t="n"/>
    </row>
    <row r="11" ht="50.5" customHeight="1" s="23">
      <c r="A11" s="47" t="inlineStr">
        <is>
          <t>F01</t>
        </is>
      </c>
      <c r="B11" s="40" t="inlineStr">
        <is>
          <t>MVP-B：电商出图</t>
        </is>
      </c>
      <c r="C11" s="40" t="inlineStr">
        <is>
          <t>电商场景模板</t>
        </is>
      </c>
      <c r="D11" s="40" t="inlineStr">
        <is>
          <t>模板 = 已发布审核快照 + 电商信息（中英文名称、示例图、适用平台、所属套图）；内置白底主图、场景图、细节图、模特或手持图</t>
        </is>
      </c>
      <c r="E11" s="40" t="inlineStr">
        <is>
          <t>WorkflowReview.cs；新增 Studio/Templates/</t>
        </is>
      </c>
      <c r="F11" s="33" t="inlineStr">
        <is>
          <t>高</t>
        </is>
      </c>
      <c r="G11" s="42" t="inlineStr"/>
      <c r="H11" s="40" t="inlineStr">
        <is>
          <t>功能规划；MVP 讨论</t>
        </is>
      </c>
      <c r="I11" s="42" t="inlineStr">
        <is>
          <t>T01、T02、T04</t>
        </is>
      </c>
      <c r="J11" s="47">
        <f>COUNTIF(开发任务!$D$5:$D$200,A11)</f>
        <v/>
      </c>
      <c r="K11" s="33">
        <f>IF(J11=0,"—",IF(COUNTIFS(开发任务!$D$5:$D$200,A11,开发任务!$L$5:$L$200,"暂缓")=J11,"暂缓",IF(COUNTIFS(开发任务!$D$5:$D$200,A11,开发任务!$L$5:$L$200,"未开始")=J11,"未开始",IF(COUNTIFS(开发任务!$D$5:$D$200,A11,开发任务!$L$5:$L$200,"已完成")=J11,"已完成",IF(COUNTIFS(开发任务!$D$5:$D$200,A11,开发任务!$L$5:$L$200,"已完成")+COUNTIFS(开发任务!$D$5:$D$200,A11,开发任务!$L$5:$L$200,"暂缓")=J11,"已完成（暂缓）","进行中")))))</f>
        <v/>
      </c>
      <c r="L11" s="44" t="n"/>
      <c r="M11" s="44" t="n"/>
    </row>
    <row r="12" ht="50.5" customHeight="1" s="23">
      <c r="A12" s="47" t="inlineStr">
        <is>
          <t>F37</t>
        </is>
      </c>
      <c r="B12" s="40" t="inlineStr">
        <is>
          <t>MVP-B：电商出图</t>
        </is>
      </c>
      <c r="C12" s="40" t="inlineStr">
        <is>
          <t>提示词服务</t>
        </is>
      </c>
      <c r="D12" s="40" t="inlineStr">
        <is>
          <t>一句话描述（中英文）+ 风格 → MagicPrompt 优化成英文提示词；输出只作为提示词文本；看图描述默认关闭</t>
        </is>
      </c>
      <c r="E12" s="40" t="inlineStr">
        <is>
          <t>MagicPrompt；新增 Studio/Prompting/</t>
        </is>
      </c>
      <c r="F12" s="33" t="inlineStr">
        <is>
          <t>高</t>
        </is>
      </c>
      <c r="G12" s="42" t="inlineStr">
        <is>
          <t>运营友好</t>
        </is>
      </c>
      <c r="H12" s="40" t="inlineStr">
        <is>
          <t>MVP 讨论</t>
        </is>
      </c>
      <c r="I12" s="42" t="inlineStr">
        <is>
          <t>T38</t>
        </is>
      </c>
      <c r="J12" s="47">
        <f>COUNTIF(开发任务!$D$5:$D$200,A12)</f>
        <v/>
      </c>
      <c r="K12" s="33">
        <f>IF(J12=0,"—",IF(COUNTIFS(开发任务!$D$5:$D$200,A12,开发任务!$L$5:$L$200,"暂缓")=J12,"暂缓",IF(COUNTIFS(开发任务!$D$5:$D$200,A12,开发任务!$L$5:$L$200,"未开始")=J12,"未开始",IF(COUNTIFS(开发任务!$D$5:$D$200,A12,开发任务!$L$5:$L$200,"已完成")=J12,"已完成",IF(COUNTIFS(开发任务!$D$5:$D$200,A12,开发任务!$L$5:$L$200,"已完成")+COUNTIFS(开发任务!$D$5:$D$200,A12,开发任务!$L$5:$L$200,"暂缓")=J12,"已完成（暂缓）","进行中")))))</f>
        <v/>
      </c>
      <c r="L12" s="44" t="n"/>
      <c r="M12" s="44" t="n"/>
    </row>
    <row r="13" ht="50.5" customHeight="1" s="23">
      <c r="A13" s="47" t="inlineStr">
        <is>
          <t>F07</t>
        </is>
      </c>
      <c r="B13" s="40" t="inlineStr">
        <is>
          <t>MVP-B：电商出图</t>
        </is>
      </c>
      <c r="C13" s="40" t="inlineStr">
        <is>
          <t>三步式简易模式</t>
        </is>
      </c>
      <c r="D13" s="40" t="inlineStr">
        <is>
          <t>默认界面：上传或选商品 → 选平台和风格 → 挑图下载；无提示词框；专业参数只对管理员可见</t>
        </is>
      </c>
      <c r="E13" s="40" t="inlineStr">
        <is>
          <t>studio.js、index.html；新增 simple.js</t>
        </is>
      </c>
      <c r="F13" s="33" t="inlineStr">
        <is>
          <t>高</t>
        </is>
      </c>
      <c r="G13" s="42" t="inlineStr">
        <is>
          <t>运营友好</t>
        </is>
      </c>
      <c r="H13" s="40" t="inlineStr">
        <is>
          <t>功能规划；MVP 讨论</t>
        </is>
      </c>
      <c r="I13" s="42" t="inlineStr">
        <is>
          <t>T13</t>
        </is>
      </c>
      <c r="J13" s="47">
        <f>COUNTIF(开发任务!$D$5:$D$200,A13)</f>
        <v/>
      </c>
      <c r="K13" s="33">
        <f>IF(J13=0,"—",IF(COUNTIFS(开发任务!$D$5:$D$200,A13,开发任务!$L$5:$L$200,"暂缓")=J13,"暂缓",IF(COUNTIFS(开发任务!$D$5:$D$200,A13,开发任务!$L$5:$L$200,"未开始")=J13,"未开始",IF(COUNTIFS(开发任务!$D$5:$D$200,A13,开发任务!$L$5:$L$200,"已完成")=J13,"已完成",IF(COUNTIFS(开发任务!$D$5:$D$200,A13,开发任务!$L$5:$L$200,"已完成")+COUNTIFS(开发任务!$D$5:$D$200,A13,开发任务!$L$5:$L$200,"暂缓")=J13,"已完成（暂缓）","进行中")))))</f>
        <v/>
      </c>
      <c r="L13" s="44" t="n"/>
      <c r="M13" s="44" t="n"/>
    </row>
    <row r="14" ht="50.5" customHeight="1" s="23">
      <c r="A14" s="47" t="inlineStr">
        <is>
          <t>F02</t>
        </is>
      </c>
      <c r="B14" s="40" t="inlineStr">
        <is>
          <t>MVP-B：电商出图</t>
        </is>
      </c>
      <c r="C14" s="40" t="inlineStr">
        <is>
          <t>商品保真</t>
        </is>
      </c>
      <c r="D14" s="40" t="inlineStr">
        <is>
          <t>用商品蒙版把原商品像素合成回生成图，保证 Logo、文字、形状不被改动；合成始终在本地</t>
        </is>
      </c>
      <c r="E14" s="40" t="inlineStr">
        <is>
          <t>ComfyUI 工作流 + 新增 Studio/PostProcess/</t>
        </is>
      </c>
      <c r="F14" s="33" t="inlineStr">
        <is>
          <t>高</t>
        </is>
      </c>
      <c r="G14" s="42" t="inlineStr"/>
      <c r="H14" s="40" t="inlineStr">
        <is>
          <t>功能规划</t>
        </is>
      </c>
      <c r="I14" s="42" t="inlineStr">
        <is>
          <t>T07</t>
        </is>
      </c>
      <c r="J14" s="47">
        <f>COUNTIF(开发任务!$D$5:$D$200,A14)</f>
        <v/>
      </c>
      <c r="K14" s="33">
        <f>IF(J14=0,"—",IF(COUNTIFS(开发任务!$D$5:$D$200,A14,开发任务!$L$5:$L$200,"暂缓")=J14,"暂缓",IF(COUNTIFS(开发任务!$D$5:$D$200,A14,开发任务!$L$5:$L$200,"未开始")=J14,"未开始",IF(COUNTIFS(开发任务!$D$5:$D$200,A14,开发任务!$L$5:$L$200,"已完成")=J14,"已完成",IF(COUNTIFS(开发任务!$D$5:$D$200,A14,开发任务!$L$5:$L$200,"已完成")+COUNTIFS(开发任务!$D$5:$D$200,A14,开发任务!$L$5:$L$200,"暂缓")=J14,"已完成（暂缓）","进行中")))))</f>
        <v/>
      </c>
      <c r="L14" s="44" t="n"/>
      <c r="M14" s="44" t="n"/>
    </row>
    <row r="15" ht="50.5" customHeight="1" s="23">
      <c r="A15" s="47" t="inlineStr">
        <is>
          <t>F35</t>
        </is>
      </c>
      <c r="B15" s="40" t="inlineStr">
        <is>
          <t>MVP-B：电商出图</t>
        </is>
      </c>
      <c r="C15" s="40" t="inlineStr">
        <is>
          <t>抠图确认与商品位置调整</t>
        </is>
      </c>
      <c r="D15" s="40" t="inlineStr">
        <is>
          <t>生成前确认抠图结果；可拖动和缩放商品在画面中的位置</t>
        </is>
      </c>
      <c r="E15" s="40" t="inlineStr">
        <is>
          <t>Studio/PostProcess/；simple.js</t>
        </is>
      </c>
      <c r="F15" s="33" t="inlineStr">
        <is>
          <t>高</t>
        </is>
      </c>
      <c r="G15" s="42" t="inlineStr">
        <is>
          <t>运营友好</t>
        </is>
      </c>
      <c r="H15" s="40" t="inlineStr">
        <is>
          <t>MVP 讨论</t>
        </is>
      </c>
      <c r="I15" s="42" t="inlineStr">
        <is>
          <t>T39</t>
        </is>
      </c>
      <c r="J15" s="47">
        <f>COUNTIF(开发任务!$D$5:$D$200,A15)</f>
        <v/>
      </c>
      <c r="K15" s="33">
        <f>IF(J15=0,"—",IF(COUNTIFS(开发任务!$D$5:$D$200,A15,开发任务!$L$5:$L$200,"暂缓")=J15,"暂缓",IF(COUNTIFS(开发任务!$D$5:$D$200,A15,开发任务!$L$5:$L$200,"未开始")=J15,"未开始",IF(COUNTIFS(开发任务!$D$5:$D$200,A15,开发任务!$L$5:$L$200,"已完成")=J15,"已完成",IF(COUNTIFS(开发任务!$D$5:$D$200,A15,开发任务!$L$5:$L$200,"已完成")+COUNTIFS(开发任务!$D$5:$D$200,A15,开发任务!$L$5:$L$200,"暂缓")=J15,"已完成（暂缓）","进行中")))))</f>
        <v/>
      </c>
      <c r="L15" s="44" t="n"/>
      <c r="M15" s="44" t="n"/>
    </row>
    <row r="16" ht="35" customHeight="1" s="23">
      <c r="A16" s="47" t="inlineStr">
        <is>
          <t>F03</t>
        </is>
      </c>
      <c r="B16" s="40" t="inlineStr">
        <is>
          <t>MVP-B：电商出图</t>
        </is>
      </c>
      <c r="C16" s="40" t="inlineStr">
        <is>
          <t>一键套图与批量</t>
        </is>
      </c>
      <c r="D16" s="40" t="inlineStr">
        <is>
          <t>按平台一次出整套图；多张商品排队；多台显卡并行；按人限流</t>
        </is>
      </c>
      <c r="E16" s="40" t="inlineStr">
        <is>
          <t>新增 Studio/Generation/ 编排</t>
        </is>
      </c>
      <c r="F16" s="33" t="inlineStr">
        <is>
          <t>高</t>
        </is>
      </c>
      <c r="G16" s="42" t="inlineStr">
        <is>
          <t>运营友好</t>
        </is>
      </c>
      <c r="H16" s="40" t="inlineStr">
        <is>
          <t>功能规划；MVP 讨论</t>
        </is>
      </c>
      <c r="I16" s="42" t="inlineStr">
        <is>
          <t>T08</t>
        </is>
      </c>
      <c r="J16" s="47">
        <f>COUNTIF(开发任务!$D$5:$D$200,A16)</f>
        <v/>
      </c>
      <c r="K16" s="33">
        <f>IF(J16=0,"—",IF(COUNTIFS(开发任务!$D$5:$D$200,A16,开发任务!$L$5:$L$200,"暂缓")=J16,"暂缓",IF(COUNTIFS(开发任务!$D$5:$D$200,A16,开发任务!$L$5:$L$200,"未开始")=J16,"未开始",IF(COUNTIFS(开发任务!$D$5:$D$200,A16,开发任务!$L$5:$L$200,"已完成")=J16,"已完成",IF(COUNTIFS(开发任务!$D$5:$D$200,A16,开发任务!$L$5:$L$200,"已完成")+COUNTIFS(开发任务!$D$5:$D$200,A16,开发任务!$L$5:$L$200,"暂缓")=J16,"已完成（暂缓）","进行中")))))</f>
        <v/>
      </c>
      <c r="L16" s="44" t="n"/>
      <c r="M16" s="44" t="n"/>
    </row>
    <row r="17" ht="35" customHeight="1" s="23">
      <c r="A17" s="47" t="inlineStr">
        <is>
          <t>F36</t>
        </is>
      </c>
      <c r="B17" s="40" t="inlineStr">
        <is>
          <t>MVP-B：电商出图</t>
        </is>
      </c>
      <c r="C17" s="40" t="inlineStr">
        <is>
          <t>商品库（简版）</t>
        </is>
      </c>
      <c r="D17" s="40" t="inlineStr">
        <is>
          <t>上传一次，缓存原图、抠图和位置，可重复用于不同平台的套图</t>
        </is>
      </c>
      <c r="E17" s="40" t="inlineStr">
        <is>
          <t>新增 Studio/Products/</t>
        </is>
      </c>
      <c r="F17" s="33" t="inlineStr">
        <is>
          <t>中</t>
        </is>
      </c>
      <c r="G17" s="42" t="inlineStr">
        <is>
          <t>运营友好</t>
        </is>
      </c>
      <c r="H17" s="40" t="inlineStr">
        <is>
          <t>MVP 讨论</t>
        </is>
      </c>
      <c r="I17" s="42" t="inlineStr">
        <is>
          <t>T40</t>
        </is>
      </c>
      <c r="J17" s="47">
        <f>COUNTIF(开发任务!$D$5:$D$200,A17)</f>
        <v/>
      </c>
      <c r="K17" s="33">
        <f>IF(J17=0,"—",IF(COUNTIFS(开发任务!$D$5:$D$200,A17,开发任务!$L$5:$L$200,"暂缓")=J17,"暂缓",IF(COUNTIFS(开发任务!$D$5:$D$200,A17,开发任务!$L$5:$L$200,"未开始")=J17,"未开始",IF(COUNTIFS(开发任务!$D$5:$D$200,A17,开发任务!$L$5:$L$200,"已完成")=J17,"已完成",IF(COUNTIFS(开发任务!$D$5:$D$200,A17,开发任务!$L$5:$L$200,"已完成")+COUNTIFS(开发任务!$D$5:$D$200,A17,开发任务!$L$5:$L$200,"暂缓")=J17,"已完成（暂缓）","进行中")))))</f>
        <v/>
      </c>
      <c r="L17" s="44" t="n"/>
      <c r="M17" s="44" t="n"/>
    </row>
    <row r="18" ht="35" customHeight="1" s="23">
      <c r="A18" s="47" t="inlineStr">
        <is>
          <t>F05</t>
        </is>
      </c>
      <c r="B18" s="40" t="inlineStr">
        <is>
          <t>MVP-B：电商出图</t>
        </is>
      </c>
      <c r="C18" s="40" t="inlineStr">
        <is>
          <t>平台导出</t>
        </is>
      </c>
      <c r="D18" s="40" t="inlineStr">
        <is>
          <t>国内外平台尺寸预设，自动缩放补边；下载 zip 或导出到共享文件夹</t>
        </is>
      </c>
      <c r="E18" s="40" t="inlineStr">
        <is>
          <t>新增 Studio/Export/</t>
        </is>
      </c>
      <c r="F18" s="33" t="inlineStr">
        <is>
          <t>高</t>
        </is>
      </c>
      <c r="G18" s="42" t="inlineStr">
        <is>
          <t>海外必做</t>
        </is>
      </c>
      <c r="H18" s="40" t="inlineStr">
        <is>
          <t>功能规划</t>
        </is>
      </c>
      <c r="I18" s="42" t="inlineStr">
        <is>
          <t>T11</t>
        </is>
      </c>
      <c r="J18" s="47">
        <f>COUNTIF(开发任务!$D$5:$D$200,A18)</f>
        <v/>
      </c>
      <c r="K18" s="33">
        <f>IF(J18=0,"—",IF(COUNTIFS(开发任务!$D$5:$D$200,A18,开发任务!$L$5:$L$200,"暂缓")=J18,"暂缓",IF(COUNTIFS(开发任务!$D$5:$D$200,A18,开发任务!$L$5:$L$200,"未开始")=J18,"未开始",IF(COUNTIFS(开发任务!$D$5:$D$200,A18,开发任务!$L$5:$L$200,"已完成")=J18,"已完成",IF(COUNTIFS(开发任务!$D$5:$D$200,A18,开发任务!$L$5:$L$200,"已完成")+COUNTIFS(开发任务!$D$5:$D$200,A18,开发任务!$L$5:$L$200,"暂缓")=J18,"已完成（暂缓）","进行中")))))</f>
        <v/>
      </c>
      <c r="L18" s="44" t="n"/>
      <c r="M18" s="44" t="n"/>
    </row>
    <row r="19" ht="66" customHeight="1" s="23">
      <c r="A19" s="47" t="inlineStr">
        <is>
          <t>F22</t>
        </is>
      </c>
      <c r="B19" s="40" t="inlineStr">
        <is>
          <t>MVP-B：电商出图</t>
        </is>
      </c>
      <c r="C19" s="40" t="inlineStr">
        <is>
          <t>合规：亚马逊主图与 AI 元数据</t>
        </is>
      </c>
      <c r="D19" s="40" t="inlineStr">
        <is>
          <t>亚马逊白底主图走纯抠图分支（不调用生成模型）；导出写入 AI 生成元数据</t>
        </is>
      </c>
      <c r="E19" s="40" t="inlineStr">
        <is>
          <t>Studio/Export/ + 模板分支</t>
        </is>
      </c>
      <c r="F19" s="33" t="inlineStr">
        <is>
          <t>高</t>
        </is>
      </c>
      <c r="G19" s="42" t="inlineStr">
        <is>
          <t>海外必做</t>
        </is>
      </c>
      <c r="H19" s="40" t="inlineStr">
        <is>
          <t>海外市场分析</t>
        </is>
      </c>
      <c r="I19" s="42" t="inlineStr">
        <is>
          <t>T19</t>
        </is>
      </c>
      <c r="J19" s="47">
        <f>COUNTIF(开发任务!$D$5:$D$200,A19)</f>
        <v/>
      </c>
      <c r="K19" s="33">
        <f>IF(J19=0,"—",IF(COUNTIFS(开发任务!$D$5:$D$200,A19,开发任务!$L$5:$L$200,"暂缓")=J19,"暂缓",IF(COUNTIFS(开发任务!$D$5:$D$200,A19,开发任务!$L$5:$L$200,"未开始")=J19,"未开始",IF(COUNTIFS(开发任务!$D$5:$D$200,A19,开发任务!$L$5:$L$200,"已完成")=J19,"已完成",IF(COUNTIFS(开发任务!$D$5:$D$200,A19,开发任务!$L$5:$L$200,"已完成")+COUNTIFS(开发任务!$D$5:$D$200,A19,开发任务!$L$5:$L$200,"暂缓")=J19,"已完成（暂缓）","进行中")))))</f>
        <v/>
      </c>
      <c r="L19" s="44" t="n"/>
      <c r="M19" s="44" t="n"/>
    </row>
    <row r="20" ht="50.5" customHeight="1" s="23">
      <c r="A20" s="47" t="inlineStr">
        <is>
          <t>F08</t>
        </is>
      </c>
      <c r="B20" s="40" t="inlineStr">
        <is>
          <t>MVP-B：电商出图</t>
        </is>
      </c>
      <c r="C20" s="40" t="inlineStr">
        <is>
          <t>模型清单与商用许可标注</t>
        </is>
      </c>
      <c r="D20" s="40" t="inlineStr">
        <is>
          <t>按服务器列出模板缺少的模型和节点及商用许可状态；下载由管理员手动完成</t>
        </is>
      </c>
      <c r="E20" s="40" t="inlineStr">
        <is>
          <t>模板 requirements / license 字段</t>
        </is>
      </c>
      <c r="F20" s="33" t="inlineStr">
        <is>
          <t>中</t>
        </is>
      </c>
      <c r="G20" s="42" t="inlineStr"/>
      <c r="H20" s="40" t="inlineStr">
        <is>
          <t>功能规划；痛点 S1</t>
        </is>
      </c>
      <c r="I20" s="42" t="inlineStr">
        <is>
          <t>T14</t>
        </is>
      </c>
      <c r="J20" s="47">
        <f>COUNTIF(开发任务!$D$5:$D$200,A20)</f>
        <v/>
      </c>
      <c r="K20" s="33">
        <f>IF(J20=0,"—",IF(COUNTIFS(开发任务!$D$5:$D$200,A20,开发任务!$L$5:$L$200,"暂缓")=J20,"暂缓",IF(COUNTIFS(开发任务!$D$5:$D$200,A20,开发任务!$L$5:$L$200,"未开始")=J20,"未开始",IF(COUNTIFS(开发任务!$D$5:$D$200,A20,开发任务!$L$5:$L$200,"已完成")=J20,"已完成",IF(COUNTIFS(开发任务!$D$5:$D$200,A20,开发任务!$L$5:$L$200,"已完成")+COUNTIFS(开发任务!$D$5:$D$200,A20,开发任务!$L$5:$L$200,"暂缓")=J20,"已完成（暂缓）","进行中")))))</f>
        <v/>
      </c>
      <c r="L20" s="44" t="n"/>
      <c r="M20" s="44" t="n"/>
    </row>
    <row r="21" ht="35" customHeight="1" s="23">
      <c r="A21" s="47" t="inlineStr">
        <is>
          <t>F20</t>
        </is>
      </c>
      <c r="B21" s="40" t="inlineStr">
        <is>
          <t>MVP-B：电商出图</t>
        </is>
      </c>
      <c r="C21" s="40" t="inlineStr">
        <is>
          <t>模板测试台</t>
        </is>
      </c>
      <c r="D21" s="40" t="inlineStr">
        <is>
          <t>固定测试商品集 × 模板批量生成，输出报告，统计合格率，改参数后重跑对比</t>
        </is>
      </c>
      <c r="E21" s="40" t="inlineStr">
        <is>
          <t>调用平台生成 API 的 Node 脚本</t>
        </is>
      </c>
      <c r="F21" s="33" t="inlineStr">
        <is>
          <t>高</t>
        </is>
      </c>
      <c r="G21" s="42" t="inlineStr"/>
      <c r="H21" s="40" t="inlineStr">
        <is>
          <t>痛点解决方案 S3</t>
        </is>
      </c>
      <c r="I21" s="42" t="inlineStr">
        <is>
          <t>T06</t>
        </is>
      </c>
      <c r="J21" s="47">
        <f>COUNTIF(开发任务!$D$5:$D$200,A21)</f>
        <v/>
      </c>
      <c r="K21" s="33">
        <f>IF(J21=0,"—",IF(COUNTIFS(开发任务!$D$5:$D$200,A21,开发任务!$L$5:$L$200,"暂缓")=J21,"暂缓",IF(COUNTIFS(开发任务!$D$5:$D$200,A21,开发任务!$L$5:$L$200,"未开始")=J21,"未开始",IF(COUNTIFS(开发任务!$D$5:$D$200,A21,开发任务!$L$5:$L$200,"已完成")=J21,"已完成",IF(COUNTIFS(开发任务!$D$5:$D$200,A21,开发任务!$L$5:$L$200,"已完成")+COUNTIFS(开发任务!$D$5:$D$200,A21,开发任务!$L$5:$L$200,"暂缓")=J21,"已完成（暂缓）","进行中")))))</f>
        <v/>
      </c>
      <c r="L21" s="44" t="n"/>
      <c r="M21" s="44" t="n"/>
    </row>
    <row r="22" ht="66" customHeight="1" s="23">
      <c r="A22" s="47" t="inlineStr">
        <is>
          <t>F10</t>
        </is>
      </c>
      <c r="B22" s="40" t="inlineStr">
        <is>
          <t>MVP-C：易用与运维</t>
        </is>
      </c>
      <c r="C22" s="40" t="inlineStr">
        <is>
          <t>中英文 README 与演示</t>
        </is>
      </c>
      <c r="D22" s="40" t="inlineStr">
        <is>
          <t>README 顶部效果对比图、演示视频、部署服务说明；中英文一致</t>
        </is>
      </c>
      <c r="E22" s="40" t="inlineStr">
        <is>
          <t>README.md、README.en.md、docs 索引</t>
        </is>
      </c>
      <c r="F22" s="33" t="inlineStr">
        <is>
          <t>中</t>
        </is>
      </c>
      <c r="G22" s="42" t="inlineStr">
        <is>
          <t>海外必做</t>
        </is>
      </c>
      <c r="H22" s="40" t="inlineStr">
        <is>
          <t>功能规划</t>
        </is>
      </c>
      <c r="I22" s="42" t="inlineStr">
        <is>
          <t>T16</t>
        </is>
      </c>
      <c r="J22" s="47">
        <f>COUNTIF(开发任务!$D$5:$D$200,A22)</f>
        <v/>
      </c>
      <c r="K22" s="33">
        <f>IF(J22=0,"—",IF(COUNTIFS(开发任务!$D$5:$D$200,A22,开发任务!$L$5:$L$200,"暂缓")=J22,"暂缓",IF(COUNTIFS(开发任务!$D$5:$D$200,A22,开发任务!$L$5:$L$200,"未开始")=J22,"未开始",IF(COUNTIFS(开发任务!$D$5:$D$200,A22,开发任务!$L$5:$L$200,"已完成")=J22,"已完成",IF(COUNTIFS(开发任务!$D$5:$D$200,A22,开发任务!$L$5:$L$200,"已完成")+COUNTIFS(开发任务!$D$5:$D$200,A22,开发任务!$L$5:$L$200,"暂缓")=J22,"已完成（暂缓）","进行中")))))</f>
        <v/>
      </c>
      <c r="L22" s="44" t="n"/>
      <c r="M22" s="44" t="n"/>
    </row>
    <row r="23" ht="35" customHeight="1" s="23">
      <c r="A23" s="47" t="inlineStr">
        <is>
          <t>F38</t>
        </is>
      </c>
      <c r="B23" s="40" t="inlineStr">
        <is>
          <t>MVP-C：易用与运维</t>
        </is>
      </c>
      <c r="C23" s="40" t="inlineStr">
        <is>
          <t>上传质量检查</t>
        </is>
      </c>
      <c r="D23" s="40" t="inlineStr">
        <is>
          <t>分辨率过低、模糊或商品占比过小时提前提醒，避免白跑显卡</t>
        </is>
      </c>
      <c r="E23" s="40" t="inlineStr">
        <is>
          <t>simple.js；服务端检查</t>
        </is>
      </c>
      <c r="F23" s="33" t="inlineStr">
        <is>
          <t>中</t>
        </is>
      </c>
      <c r="G23" s="42" t="inlineStr">
        <is>
          <t>运营友好</t>
        </is>
      </c>
      <c r="H23" s="40" t="inlineStr">
        <is>
          <t>MVP 讨论</t>
        </is>
      </c>
      <c r="I23" s="42" t="inlineStr">
        <is>
          <t>T41</t>
        </is>
      </c>
      <c r="J23" s="47">
        <f>COUNTIF(开发任务!$D$5:$D$200,A23)</f>
        <v/>
      </c>
      <c r="K23" s="33">
        <f>IF(J23=0,"—",IF(COUNTIFS(开发任务!$D$5:$D$200,A23,开发任务!$L$5:$L$200,"暂缓")=J23,"暂缓",IF(COUNTIFS(开发任务!$D$5:$D$200,A23,开发任务!$L$5:$L$200,"未开始")=J23,"未开始",IF(COUNTIFS(开发任务!$D$5:$D$200,A23,开发任务!$L$5:$L$200,"已完成")=J23,"已完成",IF(COUNTIFS(开发任务!$D$5:$D$200,A23,开发任务!$L$5:$L$200,"已完成")+COUNTIFS(开发任务!$D$5:$D$200,A23,开发任务!$L$5:$L$200,"暂缓")=J23,"已完成（暂缓）","进行中")))))</f>
        <v/>
      </c>
      <c r="L23" s="44" t="n"/>
      <c r="M23" s="44" t="n"/>
    </row>
    <row r="24" ht="50.5" customHeight="1" s="23">
      <c r="A24" s="47" t="inlineStr">
        <is>
          <t>F39</t>
        </is>
      </c>
      <c r="B24" s="40" t="inlineStr">
        <is>
          <t>MVP-C：易用与运维</t>
        </is>
      </c>
      <c r="C24" s="40" t="inlineStr">
        <is>
          <t>未选候选图自动清理</t>
        </is>
      </c>
      <c r="D24" s="40" t="inlineStr">
        <is>
          <t>未选中的候选图 N 天后清理，选中、下载或导出过的永久保留</t>
        </is>
      </c>
      <c r="E24" s="40" t="inlineStr">
        <is>
          <t>Studio/Storage/</t>
        </is>
      </c>
      <c r="F24" s="33" t="inlineStr">
        <is>
          <t>中</t>
        </is>
      </c>
      <c r="G24" s="42" t="inlineStr"/>
      <c r="H24" s="40" t="inlineStr">
        <is>
          <t>MVP 讨论</t>
        </is>
      </c>
      <c r="I24" s="42" t="inlineStr">
        <is>
          <t>T42</t>
        </is>
      </c>
      <c r="J24" s="47">
        <f>COUNTIF(开发任务!$D$5:$D$200,A24)</f>
        <v/>
      </c>
      <c r="K24" s="33">
        <f>IF(J24=0,"—",IF(COUNTIFS(开发任务!$D$5:$D$200,A24,开发任务!$L$5:$L$200,"暂缓")=J24,"暂缓",IF(COUNTIFS(开发任务!$D$5:$D$200,A24,开发任务!$L$5:$L$200,"未开始")=J24,"未开始",IF(COUNTIFS(开发任务!$D$5:$D$200,A24,开发任务!$L$5:$L$200,"已完成")=J24,"已完成",IF(COUNTIFS(开发任务!$D$5:$D$200,A24,开发任务!$L$5:$L$200,"已完成")+COUNTIFS(开发任务!$D$5:$D$200,A24,开发任务!$L$5:$L$200,"暂缓")=J24,"已完成（暂缓）","进行中")))))</f>
        <v/>
      </c>
      <c r="L24" s="44" t="n"/>
      <c r="M24" s="44" t="n"/>
    </row>
    <row r="25" ht="35" customHeight="1" s="23">
      <c r="A25" s="47" t="inlineStr">
        <is>
          <t>F40</t>
        </is>
      </c>
      <c r="B25" s="40" t="inlineStr">
        <is>
          <t>MVP-C：易用与运维</t>
        </is>
      </c>
      <c r="C25" s="40" t="inlineStr">
        <is>
          <t>首次设置向导</t>
        </is>
      </c>
      <c r="D25" s="40" t="inlineStr">
        <is>
          <t>管理员首次进入：语言 → 存储位置 → 登记服务器 → 检查模型 → 选常用平台</t>
        </is>
      </c>
      <c r="E25" s="40" t="inlineStr">
        <is>
          <t>管理视图</t>
        </is>
      </c>
      <c r="F25" s="33" t="inlineStr">
        <is>
          <t>中</t>
        </is>
      </c>
      <c r="G25" s="42" t="inlineStr">
        <is>
          <t>运营友好</t>
        </is>
      </c>
      <c r="H25" s="40" t="inlineStr">
        <is>
          <t>MVP 讨论</t>
        </is>
      </c>
      <c r="I25" s="42" t="inlineStr">
        <is>
          <t>T44</t>
        </is>
      </c>
      <c r="J25" s="47">
        <f>COUNTIF(开发任务!$D$5:$D$200,A25)</f>
        <v/>
      </c>
      <c r="K25" s="33">
        <f>IF(J25=0,"—",IF(COUNTIFS(开发任务!$D$5:$D$200,A25,开发任务!$L$5:$L$200,"暂缓")=J25,"暂缓",IF(COUNTIFS(开发任务!$D$5:$D$200,A25,开发任务!$L$5:$L$200,"未开始")=J25,"未开始",IF(COUNTIFS(开发任务!$D$5:$D$200,A25,开发任务!$L$5:$L$200,"已完成")=J25,"已完成",IF(COUNTIFS(开发任务!$D$5:$D$200,A25,开发任务!$L$5:$L$200,"已完成")+COUNTIFS(开发任务!$D$5:$D$200,A25,开发任务!$L$5:$L$200,"暂缓")=J25,"已完成（暂缓）","进行中")))))</f>
        <v/>
      </c>
      <c r="L25" s="44" t="n"/>
      <c r="M25" s="44" t="n"/>
    </row>
    <row r="26" ht="35" customHeight="1" s="23">
      <c r="A26" s="47" t="inlineStr">
        <is>
          <t>F41</t>
        </is>
      </c>
      <c r="B26" s="40" t="inlineStr">
        <is>
          <t>MVP-C：易用与运维</t>
        </is>
      </c>
      <c r="C26" s="40" t="inlineStr">
        <is>
          <t>白话错误提示</t>
        </is>
      </c>
      <c r="D26" s="40" t="inlineStr">
        <is>
          <t>用运营看得懂的中英文说明原因和下一步</t>
        </is>
      </c>
      <c r="E26" s="40" t="inlineStr">
        <is>
          <t>错误码 + 翻译表</t>
        </is>
      </c>
      <c r="F26" s="33" t="inlineStr">
        <is>
          <t>中</t>
        </is>
      </c>
      <c r="G26" s="42" t="inlineStr">
        <is>
          <t>运营友好</t>
        </is>
      </c>
      <c r="H26" s="40" t="inlineStr">
        <is>
          <t>MVP 讨论</t>
        </is>
      </c>
      <c r="I26" s="42" t="inlineStr">
        <is>
          <t>T43</t>
        </is>
      </c>
      <c r="J26" s="47">
        <f>COUNTIF(开发任务!$D$5:$D$200,A26)</f>
        <v/>
      </c>
      <c r="K26" s="33">
        <f>IF(J26=0,"—",IF(COUNTIFS(开发任务!$D$5:$D$200,A26,开发任务!$L$5:$L$200,"暂缓")=J26,"暂缓",IF(COUNTIFS(开发任务!$D$5:$D$200,A26,开发任务!$L$5:$L$200,"未开始")=J26,"未开始",IF(COUNTIFS(开发任务!$D$5:$D$200,A26,开发任务!$L$5:$L$200,"已完成")=J26,"已完成",IF(COUNTIFS(开发任务!$D$5:$D$200,A26,开发任务!$L$5:$L$200,"已完成")+COUNTIFS(开发任务!$D$5:$D$200,A26,开发任务!$L$5:$L$200,"暂缓")=J26,"已完成（暂缓）","进行中")))))</f>
        <v/>
      </c>
      <c r="L26" s="44" t="n"/>
      <c r="M26" s="44" t="n"/>
    </row>
    <row r="27" ht="50.5" customHeight="1" s="23">
      <c r="A27" s="47" t="inlineStr">
        <is>
          <t>F42</t>
        </is>
      </c>
      <c r="B27" s="40" t="inlineStr">
        <is>
          <t>MVP-C：易用与运维</t>
        </is>
      </c>
      <c r="C27" s="40" t="inlineStr">
        <is>
          <t>手机拍照上传与移动端画廊</t>
        </is>
      </c>
      <c r="D27" s="40" t="inlineStr">
        <is>
          <t>手机拍照直接上传；手机浏览画廊；不依赖需要 HTTPS 的浏览器功能</t>
        </is>
      </c>
      <c r="E27" s="40" t="inlineStr">
        <is>
          <t>studio.css、simple.js</t>
        </is>
      </c>
      <c r="F27" s="33" t="inlineStr">
        <is>
          <t>中</t>
        </is>
      </c>
      <c r="G27" s="42" t="inlineStr">
        <is>
          <t>运营友好</t>
        </is>
      </c>
      <c r="H27" s="40" t="inlineStr">
        <is>
          <t>MVP 讨论</t>
        </is>
      </c>
      <c r="I27" s="42" t="inlineStr">
        <is>
          <t>T45</t>
        </is>
      </c>
      <c r="J27" s="47">
        <f>COUNTIF(开发任务!$D$5:$D$200,A27)</f>
        <v/>
      </c>
      <c r="K27" s="33">
        <f>IF(J27=0,"—",IF(COUNTIFS(开发任务!$D$5:$D$200,A27,开发任务!$L$5:$L$200,"暂缓")=J27,"暂缓",IF(COUNTIFS(开发任务!$D$5:$D$200,A27,开发任务!$L$5:$L$200,"未开始")=J27,"未开始",IF(COUNTIFS(开发任务!$D$5:$D$200,A27,开发任务!$L$5:$L$200,"已完成")=J27,"已完成",IF(COUNTIFS(开发任务!$D$5:$D$200,A27,开发任务!$L$5:$L$200,"已完成")+COUNTIFS(开发任务!$D$5:$D$200,A27,开发任务!$L$5:$L$200,"暂缓")=J27,"已完成（暂缓）","进行中")))))</f>
        <v/>
      </c>
      <c r="L27" s="44" t="n"/>
      <c r="M27" s="44" t="n"/>
    </row>
    <row r="28" ht="35" customHeight="1" s="23">
      <c r="A28" s="47" t="inlineStr">
        <is>
          <t>F43</t>
        </is>
      </c>
      <c r="B28" s="40" t="inlineStr">
        <is>
          <t>MVP-C：易用与运维</t>
        </is>
      </c>
      <c r="C28" s="40" t="inlineStr">
        <is>
          <t>完成通知</t>
        </is>
      </c>
      <c r="D28" s="40" t="inlineStr">
        <is>
          <t>批量任务完成或失败时页面内提醒，后台时标题显示进度</t>
        </is>
      </c>
      <c r="E28" s="40" t="inlineStr">
        <is>
          <t>studio.js</t>
        </is>
      </c>
      <c r="F28" s="33" t="inlineStr">
        <is>
          <t>低</t>
        </is>
      </c>
      <c r="G28" s="42" t="inlineStr">
        <is>
          <t>运营友好</t>
        </is>
      </c>
      <c r="H28" s="40" t="inlineStr">
        <is>
          <t>MVP 讨论</t>
        </is>
      </c>
      <c r="I28" s="42" t="inlineStr">
        <is>
          <t>T46</t>
        </is>
      </c>
      <c r="J28" s="47">
        <f>COUNTIF(开发任务!$D$5:$D$200,A28)</f>
        <v/>
      </c>
      <c r="K28" s="33">
        <f>IF(J28=0,"—",IF(COUNTIFS(开发任务!$D$5:$D$200,A28,开发任务!$L$5:$L$200,"暂缓")=J28,"暂缓",IF(COUNTIFS(开发任务!$D$5:$D$200,A28,开发任务!$L$5:$L$200,"未开始")=J28,"未开始",IF(COUNTIFS(开发任务!$D$5:$D$200,A28,开发任务!$L$5:$L$200,"已完成")=J28,"已完成",IF(COUNTIFS(开发任务!$D$5:$D$200,A28,开发任务!$L$5:$L$200,"已完成")+COUNTIFS(开发任务!$D$5:$D$200,A28,开发任务!$L$5:$L$200,"暂缓")=J28,"已完成（暂缓）","进行中")))))</f>
        <v/>
      </c>
      <c r="L28" s="44" t="n"/>
      <c r="M28" s="44" t="n"/>
    </row>
    <row r="29" ht="35" customHeight="1" s="23">
      <c r="A29" s="47" t="inlineStr">
        <is>
          <t>F44</t>
        </is>
      </c>
      <c r="B29" s="40" t="inlineStr">
        <is>
          <t>MVP-C：易用与运维</t>
        </is>
      </c>
      <c r="C29" s="40" t="inlineStr">
        <is>
          <t>一键诊断包</t>
        </is>
      </c>
      <c r="D29" s="40" t="inlineStr">
        <is>
          <t>打包日志、服务器状态和配置，不含密钥、提示词和图片，便于远程技术支持</t>
        </is>
      </c>
      <c r="E29" s="40" t="inlineStr">
        <is>
          <t>新增管理接口</t>
        </is>
      </c>
      <c r="F29" s="33" t="inlineStr">
        <is>
          <t>中</t>
        </is>
      </c>
      <c r="G29" s="42" t="inlineStr"/>
      <c r="H29" s="40" t="inlineStr">
        <is>
          <t>MVP 讨论</t>
        </is>
      </c>
      <c r="I29" s="42" t="inlineStr">
        <is>
          <t>T47</t>
        </is>
      </c>
      <c r="J29" s="47">
        <f>COUNTIF(开发任务!$D$5:$D$200,A29)</f>
        <v/>
      </c>
      <c r="K29" s="33">
        <f>IF(J29=0,"—",IF(COUNTIFS(开发任务!$D$5:$D$200,A29,开发任务!$L$5:$L$200,"暂缓")=J29,"暂缓",IF(COUNTIFS(开发任务!$D$5:$D$200,A29,开发任务!$L$5:$L$200,"未开始")=J29,"未开始",IF(COUNTIFS(开发任务!$D$5:$D$200,A29,开发任务!$L$5:$L$200,"已完成")=J29,"已完成",IF(COUNTIFS(开发任务!$D$5:$D$200,A29,开发任务!$L$5:$L$200,"已完成")+COUNTIFS(开发任务!$D$5:$D$200,A29,开发任务!$L$5:$L$200,"暂缓")=J29,"已完成（暂缓）","进行中")))))</f>
        <v/>
      </c>
      <c r="L29" s="44" t="n"/>
      <c r="M29" s="44" t="n"/>
    </row>
    <row r="30" ht="50.5" customHeight="1" s="23">
      <c r="A30" s="47" t="inlineStr">
        <is>
          <t>F45</t>
        </is>
      </c>
      <c r="B30" s="40" t="inlineStr">
        <is>
          <t>MVP-C：易用与运维</t>
        </is>
      </c>
      <c r="C30" s="40" t="inlineStr">
        <is>
          <t>系统数据备份与升级</t>
        </is>
      </c>
      <c r="D30" s="40" t="inlineStr">
        <is>
          <t>一键备份与恢复系统数据；升级保留数据</t>
        </is>
      </c>
      <c r="E30" s="40" t="inlineStr">
        <is>
          <t>新增管理接口</t>
        </is>
      </c>
      <c r="F30" s="33" t="inlineStr">
        <is>
          <t>中</t>
        </is>
      </c>
      <c r="G30" s="42" t="inlineStr"/>
      <c r="H30" s="40" t="inlineStr">
        <is>
          <t>MVP 讨论</t>
        </is>
      </c>
      <c r="I30" s="42" t="inlineStr">
        <is>
          <t>T48</t>
        </is>
      </c>
      <c r="J30" s="47">
        <f>COUNTIF(开发任务!$D$5:$D$200,A30)</f>
        <v/>
      </c>
      <c r="K30" s="33">
        <f>IF(J30=0,"—",IF(COUNTIFS(开发任务!$D$5:$D$200,A30,开发任务!$L$5:$L$200,"暂缓")=J30,"暂缓",IF(COUNTIFS(开发任务!$D$5:$D$200,A30,开发任务!$L$5:$L$200,"未开始")=J30,"未开始",IF(COUNTIFS(开发任务!$D$5:$D$200,A30,开发任务!$L$5:$L$200,"已完成")=J30,"已完成",IF(COUNTIFS(开发任务!$D$5:$D$200,A30,开发任务!$L$5:$L$200,"已完成")+COUNTIFS(开发任务!$D$5:$D$200,A30,开发任务!$L$5:$L$200,"暂缓")=J30,"已完成（暂缓）","进行中")))))</f>
        <v/>
      </c>
      <c r="L30" s="44" t="n"/>
      <c r="M30" s="44" t="n"/>
    </row>
    <row r="31" ht="35" customHeight="1" s="23">
      <c r="A31" s="47" t="inlineStr">
        <is>
          <t>F46</t>
        </is>
      </c>
      <c r="B31" s="40" t="inlineStr">
        <is>
          <t>MVP-C：易用与运维</t>
        </is>
      </c>
      <c r="C31" s="40" t="inlineStr">
        <is>
          <t>磁盘空间监控</t>
        </is>
      </c>
      <c r="D31" s="40" t="inlineStr">
        <is>
          <t>本机或共享存储空间不足时提醒管理员，严重不足时暂停接收任务</t>
        </is>
      </c>
      <c r="E31" s="40" t="inlineStr">
        <is>
          <t>Studio/Storage/</t>
        </is>
      </c>
      <c r="F31" s="33" t="inlineStr">
        <is>
          <t>低</t>
        </is>
      </c>
      <c r="G31" s="42" t="inlineStr"/>
      <c r="H31" s="40" t="inlineStr">
        <is>
          <t>MVP 讨论</t>
        </is>
      </c>
      <c r="I31" s="42" t="inlineStr">
        <is>
          <t>T49</t>
        </is>
      </c>
      <c r="J31" s="47">
        <f>COUNTIF(开发任务!$D$5:$D$200,A31)</f>
        <v/>
      </c>
      <c r="K31" s="33">
        <f>IF(J31=0,"—",IF(COUNTIFS(开发任务!$D$5:$D$200,A31,开发任务!$L$5:$L$200,"暂缓")=J31,"暂缓",IF(COUNTIFS(开发任务!$D$5:$D$200,A31,开发任务!$L$5:$L$200,"未开始")=J31,"未开始",IF(COUNTIFS(开发任务!$D$5:$D$200,A31,开发任务!$L$5:$L$200,"已完成")=J31,"已完成",IF(COUNTIFS(开发任务!$D$5:$D$200,A31,开发任务!$L$5:$L$200,"已完成")+COUNTIFS(开发任务!$D$5:$D$200,A31,开发任务!$L$5:$L$200,"暂缓")=J31,"已完成（暂缓）","进行中")))))</f>
        <v/>
      </c>
      <c r="L31" s="44" t="n"/>
      <c r="M31" s="44" t="n"/>
    </row>
    <row r="32" ht="66" customHeight="1" s="23">
      <c r="A32" s="47" t="inlineStr">
        <is>
          <t>F25</t>
        </is>
      </c>
      <c r="B32" s="40" t="inlineStr">
        <is>
          <t>后续：功能增强</t>
        </is>
      </c>
      <c r="C32" s="40" t="inlineStr">
        <is>
          <t>卖点分析与套图分镜</t>
        </is>
      </c>
      <c r="D32" s="40" t="inlineStr">
        <is>
          <t>用提示词服务提炼卖点，生成整套图分镜，确认后批量生成</t>
        </is>
      </c>
      <c r="E32" s="40" t="inlineStr">
        <is>
          <t>提示词服务；依赖 F01、F03</t>
        </is>
      </c>
      <c r="F32" s="33" t="inlineStr">
        <is>
          <t>高</t>
        </is>
      </c>
      <c r="G32" s="42" t="inlineStr"/>
      <c r="H32" s="40" t="inlineStr">
        <is>
          <t>竞品启发（EcomGen、ecommerce-image-suite）</t>
        </is>
      </c>
      <c r="I32" s="42" t="inlineStr">
        <is>
          <t>T30</t>
        </is>
      </c>
      <c r="J32" s="47">
        <f>COUNTIF(开发任务!$D$5:$D$200,A32)</f>
        <v/>
      </c>
      <c r="K32" s="33">
        <f>IF(J32=0,"—",IF(COUNTIFS(开发任务!$D$5:$D$200,A32,开发任务!$L$5:$L$200,"暂缓")=J32,"暂缓",IF(COUNTIFS(开发任务!$D$5:$D$200,A32,开发任务!$L$5:$L$200,"未开始")=J32,"未开始",IF(COUNTIFS(开发任务!$D$5:$D$200,A32,开发任务!$L$5:$L$200,"已完成")=J32,"已完成",IF(COUNTIFS(开发任务!$D$5:$D$200,A32,开发任务!$L$5:$L$200,"已完成")+COUNTIFS(开发任务!$D$5:$D$200,A32,开发任务!$L$5:$L$200,"暂缓")=J32,"已完成（暂缓）","进行中")))))</f>
        <v/>
      </c>
      <c r="L32" s="44" t="n"/>
      <c r="M32" s="44" t="n"/>
    </row>
    <row r="33" ht="19.5" customHeight="1" s="23">
      <c r="A33" s="47" t="inlineStr">
        <is>
          <t>F19</t>
        </is>
      </c>
      <c r="B33" s="40" t="inlineStr">
        <is>
          <t>后续：功能增强</t>
        </is>
      </c>
      <c r="C33" s="40" t="inlineStr">
        <is>
          <t>品类预设</t>
        </is>
      </c>
      <c r="D33" s="40" t="inlineStr">
        <is>
          <t>每个模板按品类提供默认参数，调一次同品类通用</t>
        </is>
      </c>
      <c r="E33" s="40" t="inlineStr">
        <is>
          <t>依赖 F01 模板结构</t>
        </is>
      </c>
      <c r="F33" s="33" t="inlineStr">
        <is>
          <t>中</t>
        </is>
      </c>
      <c r="G33" s="42" t="inlineStr"/>
      <c r="H33" s="40" t="inlineStr">
        <is>
          <t>痛点解决方案 S4</t>
        </is>
      </c>
      <c r="I33" s="42" t="inlineStr">
        <is>
          <t>T05</t>
        </is>
      </c>
      <c r="J33" s="47">
        <f>COUNTIF(开发任务!$D$5:$D$200,A33)</f>
        <v/>
      </c>
      <c r="K33" s="33">
        <f>IF(J33=0,"—",IF(COUNTIFS(开发任务!$D$5:$D$200,A33,开发任务!$L$5:$L$200,"暂缓")=J33,"暂缓",IF(COUNTIFS(开发任务!$D$5:$D$200,A33,开发任务!$L$5:$L$200,"未开始")=J33,"未开始",IF(COUNTIFS(开发任务!$D$5:$D$200,A33,开发任务!$L$5:$L$200,"已完成")=J33,"已完成",IF(COUNTIFS(开发任务!$D$5:$D$200,A33,开发任务!$L$5:$L$200,"已完成")+COUNTIFS(开发任务!$D$5:$D$200,A33,开发任务!$L$5:$L$200,"暂缓")=J33,"已完成（暂缓）","进行中")))))</f>
        <v/>
      </c>
      <c r="L33" s="44" t="n"/>
      <c r="M33" s="44" t="n"/>
    </row>
    <row r="34" ht="35" customHeight="1" s="23">
      <c r="A34" s="47" t="inlineStr">
        <is>
          <t>F12</t>
        </is>
      </c>
      <c r="B34" s="40" t="inlineStr">
        <is>
          <t>后续：功能增强</t>
        </is>
      </c>
      <c r="C34" s="40" t="inlineStr">
        <is>
          <t>品牌资料包</t>
        </is>
      </c>
      <c r="D34" s="40" t="inlineStr">
        <is>
          <t>Logo、品牌色、偏好背景、风格参考图存成资料包，作为参考图和参数传给工作流</t>
        </is>
      </c>
      <c r="E34" s="40" t="inlineStr">
        <is>
          <t>依赖 F01</t>
        </is>
      </c>
      <c r="F34" s="33" t="inlineStr">
        <is>
          <t>中</t>
        </is>
      </c>
      <c r="G34" s="42" t="inlineStr"/>
      <c r="H34" s="40" t="inlineStr">
        <is>
          <t>痛点调整</t>
        </is>
      </c>
      <c r="I34" s="42" t="inlineStr">
        <is>
          <t>T17</t>
        </is>
      </c>
      <c r="J34" s="47">
        <f>COUNTIF(开发任务!$D$5:$D$200,A34)</f>
        <v/>
      </c>
      <c r="K34" s="33">
        <f>IF(J34=0,"—",IF(COUNTIFS(开发任务!$D$5:$D$200,A34,开发任务!$L$5:$L$200,"暂缓")=J34,"暂缓",IF(COUNTIFS(开发任务!$D$5:$D$200,A34,开发任务!$L$5:$L$200,"未开始")=J34,"未开始",IF(COUNTIFS(开发任务!$D$5:$D$200,A34,开发任务!$L$5:$L$200,"已完成")=J34,"已完成",IF(COUNTIFS(开发任务!$D$5:$D$200,A34,开发任务!$L$5:$L$200,"已完成")+COUNTIFS(开发任务!$D$5:$D$200,A34,开发任务!$L$5:$L$200,"暂缓")=J34,"已完成（暂缓）","进行中")))))</f>
        <v/>
      </c>
      <c r="L34" s="44" t="n"/>
      <c r="M34" s="44" t="n"/>
    </row>
    <row r="35" ht="35" customHeight="1" s="23">
      <c r="A35" s="47" t="inlineStr">
        <is>
          <t>F04</t>
        </is>
      </c>
      <c r="B35" s="40" t="inlineStr">
        <is>
          <t>后续：功能增强</t>
        </is>
      </c>
      <c r="C35" s="40" t="inlineStr">
        <is>
          <t>项目归档与历史</t>
        </is>
      </c>
      <c r="D35" s="40" t="inlineStr">
        <is>
          <t>一个客户或一批商品即一个项目，作品可归档，支持用相同参数重做</t>
        </is>
      </c>
      <c r="E35" s="40" t="inlineStr">
        <is>
          <t>画廊与作品索引</t>
        </is>
      </c>
      <c r="F35" s="33" t="inlineStr">
        <is>
          <t>中</t>
        </is>
      </c>
      <c r="G35" s="42" t="inlineStr"/>
      <c r="H35" s="40" t="inlineStr">
        <is>
          <t>功能规划</t>
        </is>
      </c>
      <c r="I35" s="42" t="inlineStr">
        <is>
          <t>T09、T10</t>
        </is>
      </c>
      <c r="J35" s="47">
        <f>COUNTIF(开发任务!$D$5:$D$200,A35)</f>
        <v/>
      </c>
      <c r="K35" s="33">
        <f>IF(J35=0,"—",IF(COUNTIFS(开发任务!$D$5:$D$200,A35,开发任务!$L$5:$L$200,"暂缓")=J35,"暂缓",IF(COUNTIFS(开发任务!$D$5:$D$200,A35,开发任务!$L$5:$L$200,"未开始")=J35,"未开始",IF(COUNTIFS(开发任务!$D$5:$D$200,A35,开发任务!$L$5:$L$200,"已完成")=J35,"已完成",IF(COUNTIFS(开发任务!$D$5:$D$200,A35,开发任务!$L$5:$L$200,"已完成")+COUNTIFS(开发任务!$D$5:$D$200,A35,开发任务!$L$5:$L$200,"暂缓")=J35,"已完成（暂缓）","进行中")))))</f>
        <v/>
      </c>
      <c r="L35" s="44" t="n"/>
      <c r="M35" s="44" t="n"/>
    </row>
    <row r="36" ht="50.5" customHeight="1" s="23">
      <c r="A36" s="47" t="inlineStr">
        <is>
          <t>F47</t>
        </is>
      </c>
      <c r="B36" s="40" t="inlineStr">
        <is>
          <t>后续：功能增强</t>
        </is>
      </c>
      <c r="C36" s="40" t="inlineStr">
        <is>
          <t>卖点图（固定版式文字）</t>
        </is>
      </c>
      <c r="D36" s="40" t="inlineStr">
        <is>
          <t>按固定版式叠加用户填写的文字，文字由程序绘制，不由 AI 生成</t>
        </is>
      </c>
      <c r="E36" s="40" t="inlineStr">
        <is>
          <t>导出模块</t>
        </is>
      </c>
      <c r="F36" s="33" t="inlineStr">
        <is>
          <t>中</t>
        </is>
      </c>
      <c r="G36" s="42" t="inlineStr">
        <is>
          <t>运营友好</t>
        </is>
      </c>
      <c r="H36" s="40" t="inlineStr">
        <is>
          <t>MVP 讨论</t>
        </is>
      </c>
      <c r="I36" s="42" t="inlineStr">
        <is>
          <t>T50</t>
        </is>
      </c>
      <c r="J36" s="47">
        <f>COUNTIF(开发任务!$D$5:$D$200,A36)</f>
        <v/>
      </c>
      <c r="K36" s="33">
        <f>IF(J36=0,"—",IF(COUNTIFS(开发任务!$D$5:$D$200,A36,开发任务!$L$5:$L$200,"暂缓")=J36,"暂缓",IF(COUNTIFS(开发任务!$D$5:$D$200,A36,开发任务!$L$5:$L$200,"未开始")=J36,"未开始",IF(COUNTIFS(开发任务!$D$5:$D$200,A36,开发任务!$L$5:$L$200,"已完成")=J36,"已完成",IF(COUNTIFS(开发任务!$D$5:$D$200,A36,开发任务!$L$5:$L$200,"已完成")+COUNTIFS(开发任务!$D$5:$D$200,A36,开发任务!$L$5:$L$200,"暂缓")=J36,"已完成（暂缓）","进行中")))))</f>
        <v/>
      </c>
      <c r="L36" s="44" t="n"/>
      <c r="M36" s="44" t="n"/>
    </row>
    <row r="37" ht="35" customHeight="1" s="23">
      <c r="A37" s="47" t="inlineStr">
        <is>
          <t>F48</t>
        </is>
      </c>
      <c r="B37" s="40" t="inlineStr">
        <is>
          <t>后续：功能增强</t>
        </is>
      </c>
      <c r="C37" s="40" t="inlineStr">
        <is>
          <t>商品展示视频</t>
        </is>
      </c>
      <c r="D37" s="40" t="inlineStr">
        <is>
          <t>商品展示视频模板及画廊、导出对视频的支持</t>
        </is>
      </c>
      <c r="E37" s="40" t="inlineStr">
        <is>
          <t>依赖 F01；N02</t>
        </is>
      </c>
      <c r="F37" s="33" t="inlineStr">
        <is>
          <t>中</t>
        </is>
      </c>
      <c r="G37" s="42" t="inlineStr"/>
      <c r="H37" s="40" t="inlineStr">
        <is>
          <t>功能规划</t>
        </is>
      </c>
      <c r="I37" s="42" t="inlineStr">
        <is>
          <t>T51</t>
        </is>
      </c>
      <c r="J37" s="47">
        <f>COUNTIF(开发任务!$D$5:$D$200,A37)</f>
        <v/>
      </c>
      <c r="K37" s="33">
        <f>IF(J37=0,"—",IF(COUNTIFS(开发任务!$D$5:$D$200,A37,开发任务!$L$5:$L$200,"暂缓")=J37,"暂缓",IF(COUNTIFS(开发任务!$D$5:$D$200,A37,开发任务!$L$5:$L$200,"未开始")=J37,"未开始",IF(COUNTIFS(开发任务!$D$5:$D$200,A37,开发任务!$L$5:$L$200,"已完成")=J37,"已完成",IF(COUNTIFS(开发任务!$D$5:$D$200,A37,开发任务!$L$5:$L$200,"已完成")+COUNTIFS(开发任务!$D$5:$D$200,A37,开发任务!$L$5:$L$200,"暂缓")=J37,"已完成（暂缓）","进行中")))))</f>
        <v/>
      </c>
      <c r="L37" s="44" t="n"/>
      <c r="M37" s="44" t="n"/>
    </row>
    <row r="38" ht="35" customHeight="1" s="23">
      <c r="A38" s="47" t="inlineStr">
        <is>
          <t>F49</t>
        </is>
      </c>
      <c r="B38" s="40" t="inlineStr">
        <is>
          <t>后续：功能增强</t>
        </is>
      </c>
      <c r="C38" s="40" t="inlineStr">
        <is>
          <t>可见 AI 标识</t>
        </is>
      </c>
      <c r="D38" s="40" t="inlineStr">
        <is>
          <t>导出时可选加可见 AI 标识；导出含 AI 人物的作品清单</t>
        </is>
      </c>
      <c r="E38" s="40" t="inlineStr">
        <is>
          <t>导出模块</t>
        </is>
      </c>
      <c r="F38" s="33" t="inlineStr">
        <is>
          <t>中</t>
        </is>
      </c>
      <c r="G38" s="42" t="inlineStr">
        <is>
          <t>海外必做</t>
        </is>
      </c>
      <c r="H38" s="40" t="inlineStr">
        <is>
          <t>海外市场分析</t>
        </is>
      </c>
      <c r="I38" s="42" t="inlineStr">
        <is>
          <t>T20</t>
        </is>
      </c>
      <c r="J38" s="47">
        <f>COUNTIF(开发任务!$D$5:$D$200,A38)</f>
        <v/>
      </c>
      <c r="K38" s="33">
        <f>IF(J38=0,"—",IF(COUNTIFS(开发任务!$D$5:$D$200,A38,开发任务!$L$5:$L$200,"暂缓")=J38,"暂缓",IF(COUNTIFS(开发任务!$D$5:$D$200,A38,开发任务!$L$5:$L$200,"未开始")=J38,"未开始",IF(COUNTIFS(开发任务!$D$5:$D$200,A38,开发任务!$L$5:$L$200,"已完成")=J38,"已完成",IF(COUNTIFS(开发任务!$D$5:$D$200,A38,开发任务!$L$5:$L$200,"已完成")+COUNTIFS(开发任务!$D$5:$D$200,A38,开发任务!$L$5:$L$200,"暂缓")=J38,"已完成（暂缓）","进行中")))))</f>
        <v/>
      </c>
      <c r="L38" s="44" t="n"/>
      <c r="M38" s="44" t="n"/>
    </row>
    <row r="39" ht="35" customHeight="1" s="23">
      <c r="A39" s="47" t="inlineStr">
        <is>
          <t>F21</t>
        </is>
      </c>
      <c r="B39" s="40" t="inlineStr">
        <is>
          <t>后续：功能增强</t>
        </is>
      </c>
      <c r="C39" s="40" t="inlineStr">
        <is>
          <t>候选图自动筛选</t>
        </is>
      </c>
      <c r="D39" s="40" t="inlineStr">
        <is>
          <t>按商品保真度给候选打分，只展示合格结果</t>
        </is>
      </c>
      <c r="E39" s="40" t="inlineStr">
        <is>
          <t>依赖 F02 商品蒙版</t>
        </is>
      </c>
      <c r="F39" s="33" t="inlineStr">
        <is>
          <t>中</t>
        </is>
      </c>
      <c r="G39" s="42" t="inlineStr"/>
      <c r="H39" s="40" t="inlineStr">
        <is>
          <t>痛点解决方案 S6</t>
        </is>
      </c>
      <c r="I39" s="42" t="inlineStr">
        <is>
          <t>T18</t>
        </is>
      </c>
      <c r="J39" s="47">
        <f>COUNTIF(开发任务!$D$5:$D$200,A39)</f>
        <v/>
      </c>
      <c r="K39" s="33">
        <f>IF(J39=0,"—",IF(COUNTIFS(开发任务!$D$5:$D$200,A39,开发任务!$L$5:$L$200,"暂缓")=J39,"暂缓",IF(COUNTIFS(开发任务!$D$5:$D$200,A39,开发任务!$L$5:$L$200,"未开始")=J39,"未开始",IF(COUNTIFS(开发任务!$D$5:$D$200,A39,开发任务!$L$5:$L$200,"已完成")=J39,"已完成",IF(COUNTIFS(开发任务!$D$5:$D$200,A39,开发任务!$L$5:$L$200,"已完成")+COUNTIFS(开发任务!$D$5:$D$200,A39,开发任务!$L$5:$L$200,"暂缓")=J39,"已完成（暂缓）","进行中")))))</f>
        <v/>
      </c>
      <c r="L39" s="44" t="n"/>
      <c r="M39" s="44" t="n"/>
    </row>
    <row r="40" ht="35" customHeight="1" s="23">
      <c r="A40" s="47" t="inlineStr">
        <is>
          <t>F06</t>
        </is>
      </c>
      <c r="B40" s="40" t="inlineStr">
        <is>
          <t>后续：功能增强</t>
        </is>
      </c>
      <c r="C40" s="40" t="inlineStr">
        <is>
          <t>前后对比图导出</t>
        </is>
      </c>
      <c r="D40" s="40" t="inlineStr">
        <is>
          <t>自动生成“原图 vs 成品”对比图</t>
        </is>
      </c>
      <c r="E40" s="40" t="inlineStr">
        <is>
          <t>前端画布生成</t>
        </is>
      </c>
      <c r="F40" s="33" t="inlineStr">
        <is>
          <t>低</t>
        </is>
      </c>
      <c r="G40" s="42" t="inlineStr"/>
      <c r="H40" s="40" t="inlineStr">
        <is>
          <t>功能规划</t>
        </is>
      </c>
      <c r="I40" s="42" t="inlineStr">
        <is>
          <t>T12</t>
        </is>
      </c>
      <c r="J40" s="47">
        <f>COUNTIF(开发任务!$D$5:$D$200,A40)</f>
        <v/>
      </c>
      <c r="K40" s="33">
        <f>IF(J40=0,"—",IF(COUNTIFS(开发任务!$D$5:$D$200,A40,开发任务!$L$5:$L$200,"暂缓")=J40,"暂缓",IF(COUNTIFS(开发任务!$D$5:$D$200,A40,开发任务!$L$5:$L$200,"未开始")=J40,"未开始",IF(COUNTIFS(开发任务!$D$5:$D$200,A40,开发任务!$L$5:$L$200,"已完成")=J40,"已完成",IF(COUNTIFS(开发任务!$D$5:$D$200,A40,开发任务!$L$5:$L$200,"已完成")+COUNTIFS(开发任务!$D$5:$D$200,A40,开发任务!$L$5:$L$200,"暂缓")=J40,"已完成（暂缓）","进行中")))))</f>
        <v/>
      </c>
      <c r="L40" s="44" t="n"/>
      <c r="M40" s="44" t="n"/>
    </row>
    <row r="41" ht="35" customHeight="1" s="23">
      <c r="A41" s="47" t="inlineStr">
        <is>
          <t>F26</t>
        </is>
      </c>
      <c r="B41" s="40" t="inlineStr">
        <is>
          <t>后续：功能增强</t>
        </is>
      </c>
      <c r="C41" s="40" t="inlineStr">
        <is>
          <t>PSD 分层导出</t>
        </is>
      </c>
      <c r="D41" s="40" t="inlineStr">
        <is>
          <t>商品层、背景层、文字层分层导出为 PSD</t>
        </is>
      </c>
      <c r="E41" s="40" t="inlineStr">
        <is>
          <t>依赖 F02 商品蒙版</t>
        </is>
      </c>
      <c r="F41" s="33" t="inlineStr">
        <is>
          <t>低</t>
        </is>
      </c>
      <c r="G41" s="42" t="inlineStr"/>
      <c r="H41" s="40" t="inlineStr">
        <is>
          <t>竞品启发（EcomGen）</t>
        </is>
      </c>
      <c r="I41" s="42" t="inlineStr">
        <is>
          <t>T31</t>
        </is>
      </c>
      <c r="J41" s="47">
        <f>COUNTIF(开发任务!$D$5:$D$200,A41)</f>
        <v/>
      </c>
      <c r="K41" s="33">
        <f>IF(J41=0,"—",IF(COUNTIFS(开发任务!$D$5:$D$200,A41,开发任务!$L$5:$L$200,"暂缓")=J41,"暂缓",IF(COUNTIFS(开发任务!$D$5:$D$200,A41,开发任务!$L$5:$L$200,"未开始")=J41,"未开始",IF(COUNTIFS(开发任务!$D$5:$D$200,A41,开发任务!$L$5:$L$200,"已完成")=J41,"已完成",IF(COUNTIFS(开发任务!$D$5:$D$200,A41,开发任务!$L$5:$L$200,"已完成")+COUNTIFS(开发任务!$D$5:$D$200,A41,开发任务!$L$5:$L$200,"暂缓")=J41,"已完成（暂缓）","进行中")))))</f>
        <v/>
      </c>
      <c r="L41" s="44" t="n"/>
      <c r="M41" s="44" t="n"/>
    </row>
    <row r="42" ht="35" customHeight="1" s="23">
      <c r="A42" s="47" t="inlineStr">
        <is>
          <t>F09</t>
        </is>
      </c>
      <c r="B42" s="40" t="inlineStr">
        <is>
          <t>后续：功能增强</t>
        </is>
      </c>
      <c r="C42" s="40" t="inlineStr">
        <is>
          <t>模板导入导出</t>
        </is>
      </c>
      <c r="D42" s="40" t="inlineStr">
        <is>
          <t>模板包文件格式，管理员可导入导出，为付费模板包铺路</t>
        </is>
      </c>
      <c r="E42" s="40" t="inlineStr">
        <is>
          <t>依赖 F01；沿用审核流程</t>
        </is>
      </c>
      <c r="F42" s="33" t="inlineStr">
        <is>
          <t>中</t>
        </is>
      </c>
      <c r="G42" s="42" t="inlineStr"/>
      <c r="H42" s="40" t="inlineStr">
        <is>
          <t>功能规划</t>
        </is>
      </c>
      <c r="I42" s="42" t="inlineStr">
        <is>
          <t>T15</t>
        </is>
      </c>
      <c r="J42" s="47">
        <f>COUNTIF(开发任务!$D$5:$D$200,A42)</f>
        <v/>
      </c>
      <c r="K42" s="33">
        <f>IF(J42=0,"—",IF(COUNTIFS(开发任务!$D$5:$D$200,A42,开发任务!$L$5:$L$200,"暂缓")=J42,"暂缓",IF(COUNTIFS(开发任务!$D$5:$D$200,A42,开发任务!$L$5:$L$200,"未开始")=J42,"未开始",IF(COUNTIFS(开发任务!$D$5:$D$200,A42,开发任务!$L$5:$L$200,"已完成")=J42,"已完成",IF(COUNTIFS(开发任务!$D$5:$D$200,A42,开发任务!$L$5:$L$200,"已完成")+COUNTIFS(开发任务!$D$5:$D$200,A42,开发任务!$L$5:$L$200,"暂缓")=J42,"已完成（暂缓）","进行中")))))</f>
        <v/>
      </c>
      <c r="L42" s="44" t="n"/>
      <c r="M42" s="44" t="n"/>
    </row>
    <row r="43" ht="97" customHeight="1" s="23">
      <c r="A43" s="47" t="inlineStr">
        <is>
          <t>F27</t>
        </is>
      </c>
      <c r="B43" s="40" t="inlineStr">
        <is>
          <t>后续：功能增强</t>
        </is>
      </c>
      <c r="C43" s="40" t="inlineStr">
        <is>
          <t>兼容 ComfyUI App Mode 应用</t>
        </is>
      </c>
      <c r="D43" s="40" t="inlineStr">
        <is>
          <t>把 ComfyUI App Mode 应用作为模板导入</t>
        </is>
      </c>
      <c r="E43" s="40" t="inlineStr">
        <is>
          <t>依赖 F01、F09</t>
        </is>
      </c>
      <c r="F43" s="33" t="inlineStr">
        <is>
          <t>低</t>
        </is>
      </c>
      <c r="G43" s="42" t="inlineStr"/>
      <c r="H43" s="40" t="inlineStr">
        <is>
          <t>竞品启发（ComfyUI App Mode）</t>
        </is>
      </c>
      <c r="I43" s="42" t="inlineStr">
        <is>
          <t>T32</t>
        </is>
      </c>
      <c r="J43" s="47">
        <f>COUNTIF(开发任务!$D$5:$D$200,A43)</f>
        <v/>
      </c>
      <c r="K43" s="33">
        <f>IF(J43=0,"—",IF(COUNTIFS(开发任务!$D$5:$D$200,A43,开发任务!$L$5:$L$200,"暂缓")=J43,"暂缓",IF(COUNTIFS(开发任务!$D$5:$D$200,A43,开发任务!$L$5:$L$200,"未开始")=J43,"未开始",IF(COUNTIFS(开发任务!$D$5:$D$200,A43,开发任务!$L$5:$L$200,"已完成")=J43,"已完成",IF(COUNTIFS(开发任务!$D$5:$D$200,A43,开发任务!$L$5:$L$200,"已完成")+COUNTIFS(开发任务!$D$5:$D$200,A43,开发任务!$L$5:$L$200,"暂缓")=J43,"已完成（暂缓）","进行中")))))</f>
        <v/>
      </c>
      <c r="L43" s="44" t="n"/>
      <c r="M43" s="44" t="n"/>
    </row>
    <row r="44" ht="81.5" customHeight="1" s="23">
      <c r="A44" s="47" t="inlineStr">
        <is>
          <t>F23</t>
        </is>
      </c>
      <c r="B44" s="40" t="inlineStr">
        <is>
          <t>后续：功能增强</t>
        </is>
      </c>
      <c r="C44" s="40" t="inlineStr">
        <is>
          <t>Apple 芯片 Mac 一键安装</t>
        </is>
      </c>
      <c r="D44" s="40" t="inlineStr">
        <is>
          <t>macOS 上自动安装并启动本机 ComfyUI</t>
        </is>
      </c>
      <c r="E44" s="40" t="inlineStr">
        <is>
          <t>src/Core/Installation.cs、launch-macos.sh</t>
        </is>
      </c>
      <c r="F44" s="33" t="inlineStr">
        <is>
          <t>低</t>
        </is>
      </c>
      <c r="G44" s="42" t="inlineStr">
        <is>
          <t>海外必做</t>
        </is>
      </c>
      <c r="H44" s="40" t="inlineStr">
        <is>
          <t>海外市场分析</t>
        </is>
      </c>
      <c r="I44" s="42" t="inlineStr">
        <is>
          <t>T21</t>
        </is>
      </c>
      <c r="J44" s="47">
        <f>COUNTIF(开发任务!$D$5:$D$200,A44)</f>
        <v/>
      </c>
      <c r="K44" s="33">
        <f>IF(J44=0,"—",IF(COUNTIFS(开发任务!$D$5:$D$200,A44,开发任务!$L$5:$L$200,"暂缓")=J44,"暂缓",IF(COUNTIFS(开发任务!$D$5:$D$200,A44,开发任务!$L$5:$L$200,"未开始")=J44,"未开始",IF(COUNTIFS(开发任务!$D$5:$D$200,A44,开发任务!$L$5:$L$200,"已完成")=J44,"已完成",IF(COUNTIFS(开发任务!$D$5:$D$200,A44,开发任务!$L$5:$L$200,"已完成")+COUNTIFS(开发任务!$D$5:$D$200,A44,开发任务!$L$5:$L$200,"暂缓")=J44,"已完成（暂缓）","进行中")))))</f>
        <v/>
      </c>
      <c r="L44" s="44" t="n"/>
      <c r="M44" s="44" t="n"/>
    </row>
    <row r="45" ht="35" customHeight="1" s="23">
      <c r="A45" s="47" t="inlineStr">
        <is>
          <t>F11</t>
        </is>
      </c>
      <c r="B45" s="40" t="inlineStr">
        <is>
          <t>后续：团队与商业化</t>
        </is>
      </c>
      <c r="C45" s="40" t="inlineStr">
        <is>
          <t>角色与权限细分</t>
        </is>
      </c>
      <c r="D45" s="40" t="inlineStr">
        <is>
          <t>不做（决策 A12）：按软件销售、按账号数收费，不做复杂角色与权限；账号只分管理员和普通账号。原计划：预置管理员、设计师、运营、审核等角色</t>
        </is>
      </c>
      <c r="E45" s="40" t="inlineStr">
        <is>
          <t>src/Accounts；需求文档第 4 节</t>
        </is>
      </c>
      <c r="F45" s="33" t="inlineStr">
        <is>
          <t>中</t>
        </is>
      </c>
      <c r="G45" s="42" t="inlineStr"/>
      <c r="H45" s="40" t="inlineStr">
        <is>
          <t>功能规划</t>
        </is>
      </c>
      <c r="I45" s="42" t="inlineStr">
        <is>
          <t>T23</t>
        </is>
      </c>
      <c r="J45" s="47">
        <f>COUNTIF(开发任务!$D$5:$D$200,A45)</f>
        <v/>
      </c>
      <c r="K45" s="33">
        <f>IF(J45=0,"—",IF(COUNTIFS(开发任务!$D$5:$D$200,A45,开发任务!$L$5:$L$200,"暂缓")=J45,"暂缓",IF(COUNTIFS(开发任务!$D$5:$D$200,A45,开发任务!$L$5:$L$200,"未开始")=J45,"未开始",IF(COUNTIFS(开发任务!$D$5:$D$200,A45,开发任务!$L$5:$L$200,"已完成")=J45,"已完成",IF(COUNTIFS(开发任务!$D$5:$D$200,A45,开发任务!$L$5:$L$200,"已完成")+COUNTIFS(开发任务!$D$5:$D$200,A45,开发任务!$L$5:$L$200,"暂缓")=J45,"已完成（暂缓）","进行中")))))</f>
        <v/>
      </c>
      <c r="L45" s="44" t="n"/>
      <c r="M45" s="44" t="inlineStr">
        <is>
          <t>2026-10-29 决策 A12 取消；T23 暂缓</t>
        </is>
      </c>
    </row>
    <row r="46" ht="35" customHeight="1" s="23">
      <c r="A46" s="47" t="inlineStr">
        <is>
          <t>F13</t>
        </is>
      </c>
      <c r="B46" s="40" t="inlineStr">
        <is>
          <t>后续：团队与商业化</t>
        </is>
      </c>
      <c r="C46" s="40" t="inlineStr">
        <is>
          <t>作品审核流程</t>
        </is>
      </c>
      <c r="D46" s="40" t="inlineStr">
        <is>
          <t>提交后由负责人审核，通过后才能导出</t>
        </is>
      </c>
      <c r="E46" s="40" t="inlineStr">
        <is>
          <t>原依赖 F11（已按 A12 取消）；如做，审核人由管理员担任</t>
        </is>
      </c>
      <c r="F46" s="33" t="inlineStr">
        <is>
          <t>中</t>
        </is>
      </c>
      <c r="G46" s="42" t="inlineStr"/>
      <c r="H46" s="40" t="inlineStr">
        <is>
          <t>功能规划</t>
        </is>
      </c>
      <c r="I46" s="42" t="inlineStr">
        <is>
          <t>T24</t>
        </is>
      </c>
      <c r="J46" s="47">
        <f>COUNTIF(开发任务!$D$5:$D$200,A46)</f>
        <v/>
      </c>
      <c r="K46" s="33">
        <f>IF(J46=0,"—",IF(COUNTIFS(开发任务!$D$5:$D$200,A46,开发任务!$L$5:$L$200,"暂缓")=J46,"暂缓",IF(COUNTIFS(开发任务!$D$5:$D$200,A46,开发任务!$L$5:$L$200,"未开始")=J46,"未开始",IF(COUNTIFS(开发任务!$D$5:$D$200,A46,开发任务!$L$5:$L$200,"已完成")=J46,"已完成",IF(COUNTIFS(开发任务!$D$5:$D$200,A46,开发任务!$L$5:$L$200,"已完成")+COUNTIFS(开发任务!$D$5:$D$200,A46,开发任务!$L$5:$L$200,"暂缓")=J46,"已完成（暂缓）","进行中")))))</f>
        <v/>
      </c>
      <c r="L46" s="44" t="n"/>
      <c r="M46" s="44" t="n"/>
    </row>
    <row r="47" ht="19.5" customHeight="1" s="23">
      <c r="A47" s="47" t="inlineStr">
        <is>
          <t>F14</t>
        </is>
      </c>
      <c r="B47" s="40" t="inlineStr">
        <is>
          <t>后续：团队与商业化</t>
        </is>
      </c>
      <c r="C47" s="40" t="inlineStr">
        <is>
          <t>用量统计</t>
        </is>
      </c>
      <c r="D47" s="40" t="inlineStr">
        <is>
          <t>按成员、时间段、执行服务器统计出图量</t>
        </is>
      </c>
      <c r="E47" s="40" t="inlineStr">
        <is>
          <t>作品索引</t>
        </is>
      </c>
      <c r="F47" s="33" t="inlineStr">
        <is>
          <t>中</t>
        </is>
      </c>
      <c r="G47" s="42" t="inlineStr"/>
      <c r="H47" s="40" t="inlineStr">
        <is>
          <t>功能规划</t>
        </is>
      </c>
      <c r="I47" s="42" t="inlineStr">
        <is>
          <t>T25</t>
        </is>
      </c>
      <c r="J47" s="47">
        <f>COUNTIF(开发任务!$D$5:$D$200,A47)</f>
        <v/>
      </c>
      <c r="K47" s="33">
        <f>IF(J47=0,"—",IF(COUNTIFS(开发任务!$D$5:$D$200,A47,开发任务!$L$5:$L$200,"暂缓")=J47,"暂缓",IF(COUNTIFS(开发任务!$D$5:$D$200,A47,开发任务!$L$5:$L$200,"未开始")=J47,"未开始",IF(COUNTIFS(开发任务!$D$5:$D$200,A47,开发任务!$L$5:$L$200,"已完成")=J47,"已完成",IF(COUNTIFS(开发任务!$D$5:$D$200,A47,开发任务!$L$5:$L$200,"已完成")+COUNTIFS(开发任务!$D$5:$D$200,A47,开发任务!$L$5:$L$200,"暂缓")=J47,"已完成（暂缓）","进行中")))))</f>
        <v/>
      </c>
      <c r="L47" s="44" t="n"/>
      <c r="M47" s="44" t="n"/>
    </row>
    <row r="48" ht="35" customHeight="1" s="23">
      <c r="A48" s="47" t="inlineStr">
        <is>
          <t>F50</t>
        </is>
      </c>
      <c r="B48" s="40" t="inlineStr">
        <is>
          <t>后续：团队与商业化</t>
        </is>
      </c>
      <c r="C48" s="40" t="inlineStr">
        <is>
          <t>用户组与作品共享</t>
        </is>
      </c>
      <c r="D48" s="40" t="inlineStr">
        <is>
          <t>管理员维护用户组；作品可共享到组（平台内可见性）</t>
        </is>
      </c>
      <c r="E48" s="40" t="inlineStr">
        <is>
          <t>需求文档 R7.3、R9.3</t>
        </is>
      </c>
      <c r="F48" s="33" t="inlineStr">
        <is>
          <t>中</t>
        </is>
      </c>
      <c r="G48" s="42" t="inlineStr"/>
      <c r="H48" s="40" t="inlineStr">
        <is>
          <t>需求文档第二阶段</t>
        </is>
      </c>
      <c r="I48" s="42" t="inlineStr">
        <is>
          <t>T52</t>
        </is>
      </c>
      <c r="J48" s="47">
        <f>COUNTIF(开发任务!$D$5:$D$200,A48)</f>
        <v/>
      </c>
      <c r="K48" s="33">
        <f>IF(J48=0,"—",IF(COUNTIFS(开发任务!$D$5:$D$200,A48,开发任务!$L$5:$L$200,"暂缓")=J48,"暂缓",IF(COUNTIFS(开发任务!$D$5:$D$200,A48,开发任务!$L$5:$L$200,"未开始")=J48,"未开始",IF(COUNTIFS(开发任务!$D$5:$D$200,A48,开发任务!$L$5:$L$200,"已完成")=J48,"已完成",IF(COUNTIFS(开发任务!$D$5:$D$200,A48,开发任务!$L$5:$L$200,"已完成")+COUNTIFS(开发任务!$D$5:$D$200,A48,开发任务!$L$5:$L$200,"暂缓")=J48,"已完成（暂缓）","进行中")))))</f>
        <v/>
      </c>
      <c r="L48" s="44" t="n"/>
      <c r="M48" s="44" t="n"/>
    </row>
    <row r="49" ht="35" customHeight="1" s="23">
      <c r="A49" s="47" t="inlineStr">
        <is>
          <t>F51</t>
        </is>
      </c>
      <c r="B49" s="40" t="inlineStr">
        <is>
          <t>后续：团队与商业化</t>
        </is>
      </c>
      <c r="C49" s="40" t="inlineStr">
        <is>
          <t>服务器运维</t>
        </is>
      </c>
      <c r="D49" s="40" t="inlineStr">
        <is>
          <t>维护模式、工作流一键分发、远程输出目录清理</t>
        </is>
      </c>
      <c r="E49" s="40" t="inlineStr">
        <is>
          <t>需求文档第二阶段</t>
        </is>
      </c>
      <c r="F49" s="33" t="inlineStr">
        <is>
          <t>低</t>
        </is>
      </c>
      <c r="G49" s="42" t="inlineStr"/>
      <c r="H49" s="40" t="inlineStr">
        <is>
          <t>需求文档第二阶段</t>
        </is>
      </c>
      <c r="I49" s="42" t="inlineStr">
        <is>
          <t>T53</t>
        </is>
      </c>
      <c r="J49" s="47">
        <f>COUNTIF(开发任务!$D$5:$D$200,A49)</f>
        <v/>
      </c>
      <c r="K49" s="33">
        <f>IF(J49=0,"—",IF(COUNTIFS(开发任务!$D$5:$D$200,A49,开发任务!$L$5:$L$200,"暂缓")=J49,"暂缓",IF(COUNTIFS(开发任务!$D$5:$D$200,A49,开发任务!$L$5:$L$200,"未开始")=J49,"未开始",IF(COUNTIFS(开发任务!$D$5:$D$200,A49,开发任务!$L$5:$L$200,"已完成")=J49,"已完成",IF(COUNTIFS(开发任务!$D$5:$D$200,A49,开发任务!$L$5:$L$200,"已完成")+COUNTIFS(开发任务!$D$5:$D$200,A49,开发任务!$L$5:$L$200,"暂缓")=J49,"已完成（暂缓）","进行中")))))</f>
        <v/>
      </c>
      <c r="L49" s="44" t="n"/>
      <c r="M49" s="44" t="n"/>
    </row>
    <row r="50" ht="35" customHeight="1" s="23">
      <c r="A50" s="47" t="inlineStr">
        <is>
          <t>F16</t>
        </is>
      </c>
      <c r="B50" s="40" t="inlineStr">
        <is>
          <t>后续：团队与商业化</t>
        </is>
      </c>
      <c r="C50" s="40" t="inlineStr">
        <is>
          <t>按账号数授权</t>
        </is>
      </c>
      <c r="D50" s="40" t="inlineStr">
        <is>
          <t>按软件销售、按账号数收费（A12）：离线可校验的许可证限制可创建的账号数量，不按功能分级</t>
        </is>
      </c>
      <c r="E50" s="40" t="inlineStr">
        <is>
          <t>新增授权模块</t>
        </is>
      </c>
      <c r="F50" s="33" t="inlineStr">
        <is>
          <t>中</t>
        </is>
      </c>
      <c r="G50" s="42" t="inlineStr"/>
      <c r="H50" s="40" t="inlineStr">
        <is>
          <t>功能规划</t>
        </is>
      </c>
      <c r="I50" s="42" t="inlineStr">
        <is>
          <t>T27</t>
        </is>
      </c>
      <c r="J50" s="47">
        <f>COUNTIF(开发任务!$D$5:$D$200,A50)</f>
        <v/>
      </c>
      <c r="K50" s="33">
        <f>IF(J50=0,"—",IF(COUNTIFS(开发任务!$D$5:$D$200,A50,开发任务!$L$5:$L$200,"暂缓")=J50,"暂缓",IF(COUNTIFS(开发任务!$D$5:$D$200,A50,开发任务!$L$5:$L$200,"未开始")=J50,"未开始",IF(COUNTIFS(开发任务!$D$5:$D$200,A50,开发任务!$L$5:$L$200,"已完成")=J50,"已完成",IF(COUNTIFS(开发任务!$D$5:$D$200,A50,开发任务!$L$5:$L$200,"已完成")+COUNTIFS(开发任务!$D$5:$D$200,A50,开发任务!$L$5:$L$200,"暂缓")=J50,"已完成（暂缓）","进行中")))))</f>
        <v/>
      </c>
      <c r="L50" s="44" t="n"/>
      <c r="M50" s="44" t="inlineStr">
        <is>
          <t>2026-10-29 按决策 A12 改为按账号数授权</t>
        </is>
      </c>
    </row>
    <row r="51" ht="50.5" customHeight="1" s="23">
      <c r="A51" s="47" t="inlineStr">
        <is>
          <t>F18</t>
        </is>
      </c>
      <c r="B51" s="40" t="inlineStr">
        <is>
          <t>预留：云端与定制</t>
        </is>
      </c>
      <c r="C51" s="40" t="inlineStr">
        <is>
          <t>云端生成</t>
        </is>
      </c>
      <c r="D51" s="40" t="inlineStr">
        <is>
          <t>保留执行方抽象和三段式流程；修订规则并确认后才开发</t>
        </is>
      </c>
      <c r="E51" s="40" t="inlineStr">
        <is>
          <t>需求文档 D11、R10；与 AGENTS.md 现行规则冲突</t>
        </is>
      </c>
      <c r="F51" s="33" t="inlineStr">
        <is>
          <t>低</t>
        </is>
      </c>
      <c r="G51" s="42" t="inlineStr"/>
      <c r="H51" s="40" t="inlineStr">
        <is>
          <t>功能规划；2026-10-27 讨论</t>
        </is>
      </c>
      <c r="I51" s="42" t="inlineStr">
        <is>
          <t>T29</t>
        </is>
      </c>
      <c r="J51" s="47">
        <f>COUNTIF(开发任务!$D$5:$D$200,A51)</f>
        <v/>
      </c>
      <c r="K51" s="33">
        <f>IF(J51=0,"—",IF(COUNTIFS(开发任务!$D$5:$D$200,A51,开发任务!$L$5:$L$200,"暂缓")=J51,"暂缓",IF(COUNTIFS(开发任务!$D$5:$D$200,A51,开发任务!$L$5:$L$200,"未开始")=J51,"未开始",IF(COUNTIFS(开发任务!$D$5:$D$200,A51,开发任务!$L$5:$L$200,"已完成")=J51,"已完成",IF(COUNTIFS(开发任务!$D$5:$D$200,A51,开发任务!$L$5:$L$200,"已完成")+COUNTIFS(开发任务!$D$5:$D$200,A51,开发任务!$L$5:$L$200,"暂缓")=J51,"已完成（暂缓）","进行中")))))</f>
        <v/>
      </c>
      <c r="L51" s="44" t="n"/>
      <c r="M51" s="44" t="n"/>
    </row>
    <row r="52" ht="35" customHeight="1" s="23">
      <c r="A52" s="47" t="inlineStr">
        <is>
          <t>F17</t>
        </is>
      </c>
      <c r="B52" s="40" t="inlineStr">
        <is>
          <t>预留：云端与定制</t>
        </is>
      </c>
      <c r="C52" s="40" t="inlineStr">
        <is>
          <t>品牌专属模型训练</t>
        </is>
      </c>
      <c r="D52" s="40" t="inlineStr">
        <is>
          <t>用客户商品图训练专属 LoRA；先作为付费定制服务</t>
        </is>
      </c>
      <c r="E52" s="40" t="inlineStr">
        <is>
          <t>新增训练工作流</t>
        </is>
      </c>
      <c r="F52" s="33" t="inlineStr">
        <is>
          <t>低</t>
        </is>
      </c>
      <c r="G52" s="42" t="inlineStr"/>
      <c r="H52" s="40" t="inlineStr">
        <is>
          <t>功能规划；痛点 S7</t>
        </is>
      </c>
      <c r="I52" s="42" t="inlineStr">
        <is>
          <t>T28</t>
        </is>
      </c>
      <c r="J52" s="47">
        <f>COUNTIF(开发任务!$D$5:$D$200,A52)</f>
        <v/>
      </c>
      <c r="K52" s="33">
        <f>IF(J52=0,"—",IF(COUNTIFS(开发任务!$D$5:$D$200,A52,开发任务!$L$5:$L$200,"暂缓")=J52,"暂缓",IF(COUNTIFS(开发任务!$D$5:$D$200,A52,开发任务!$L$5:$L$200,"未开始")=J52,"未开始",IF(COUNTIFS(开发任务!$D$5:$D$200,A52,开发任务!$L$5:$L$200,"已完成")=J52,"已完成",IF(COUNTIFS(开发任务!$D$5:$D$200,A52,开发任务!$L$5:$L$200,"已完成")+COUNTIFS(开发任务!$D$5:$D$200,A52,开发任务!$L$5:$L$200,"暂缓")=J52,"已完成（暂缓）","进行中")))))</f>
        <v/>
      </c>
      <c r="L52" s="44" t="n"/>
      <c r="M52" s="44" t="n"/>
    </row>
    <row r="53">
      <c r="A53" s="22" t="inlineStr">
        <is>
          <t>F52</t>
        </is>
      </c>
      <c r="B53" s="22" t="inlineStr">
        <is>
          <t>改版：简易模式 v3</t>
        </is>
      </c>
      <c r="C53" s="22" t="inlineStr">
        <is>
          <t>上传四入口（本机、拍照、商品库、画廊选图）</t>
        </is>
      </c>
      <c r="D53" s="22" t="inlineStr">
        <is>
          <t>本机、拍照保留；商品库折叠入口提升为并列按钮并弹窗选择；新增从画廊选已生成作品图作商品图（客户端压缩到 5 MB，质量检查生效，缩略图标来源）</t>
        </is>
      </c>
      <c r="E53" s="22" t="inlineStr">
        <is>
          <t>Studio/simple.js、index.html；画廊与商品库接口复用</t>
        </is>
      </c>
      <c r="F53" s="22" t="inlineStr">
        <is>
          <t>高</t>
        </is>
      </c>
      <c r="G53" s="22" t="inlineStr">
        <is>
          <t>运营友好</t>
        </is>
      </c>
      <c r="H53" s="22" t="inlineStr">
        <is>
          <t>简易模式改版需求文档 v3</t>
        </is>
      </c>
      <c r="I53" s="22" t="inlineStr">
        <is>
          <t>T54</t>
        </is>
      </c>
      <c r="J53" s="22">
        <f>COUNTIF(开发任务!$D$5:$D$200,A53)</f>
        <v/>
      </c>
      <c r="K53" s="22">
        <f>IF(J53=0,"—",IF(COUNTIFS(开发任务!$D$5:$D$200,A53,开发任务!$L$5:$L$200,"暂缓")=J53,"暂缓",IF(COUNTIFS(开发任务!$D$5:$D$200,A53,开发任务!$L$5:$L$200,"未开始")=J53,"未开始",IF(COUNTIFS(开发任务!$D$5:$D$200,A53,开发任务!$L$5:$L$200,"已完成")=J53,"已完成",IF(COUNTIFS(开发任务!$D$5:$D$200,A53,开发任务!$L$5:$L$200,"已完成")+COUNTIFS(开发任务!$D$5:$D$200,A53,开发任务!$L$5:$L$200,"暂缓")=J53,"已完成（暂缓）","进行中")))))</f>
        <v/>
      </c>
    </row>
    <row r="54">
      <c r="A54" s="22" t="inlineStr">
        <is>
          <t>F53</t>
        </is>
      </c>
      <c r="B54" s="22" t="inlineStr">
        <is>
          <t>改版：简易模式 v3</t>
        </is>
      </c>
      <c r="C54" s="22" t="inlineStr">
        <is>
          <t>产品类型两级选择、可选风格与模特勾选</t>
        </is>
      </c>
      <c r="D54" s="22" t="inlineStr">
        <is>
          <t>「风格」改为大类→子类产品类型（初版 4 大类，重点个护美妆：洗发水、护手霜等），子类英文片段进提示词；视觉风格改为可选第二行；新增与白底主图互斥的「需要模特」勾选</t>
        </is>
      </c>
      <c r="E54" s="22" t="inlineStr">
        <is>
          <t>新增 Templates/product-types.json；Prompting/、Studio/simple.js</t>
        </is>
      </c>
      <c r="F54" s="22" t="inlineStr">
        <is>
          <t>高</t>
        </is>
      </c>
      <c r="G54" s="22" t="inlineStr">
        <is>
          <t>运营友好</t>
        </is>
      </c>
      <c r="H54" s="22" t="inlineStr">
        <is>
          <t>简易模式改版需求文档 v3</t>
        </is>
      </c>
      <c r="I54" s="22" t="inlineStr">
        <is>
          <t>T55</t>
        </is>
      </c>
      <c r="J54" s="22">
        <f>COUNTIF(开发任务!$D$5:$D$200,A54)</f>
        <v/>
      </c>
      <c r="K54" s="22">
        <f>IF(J54=0,"—",IF(COUNTIFS(开发任务!$D$5:$D$200,A54,开发任务!$L$5:$L$200,"暂缓")=J54,"暂缓",IF(COUNTIFS(开发任务!$D$5:$D$200,A54,开发任务!$L$5:$L$200,"未开始")=J54,"未开始",IF(COUNTIFS(开发任务!$D$5:$D$200,A54,开发任务!$L$5:$L$200,"已完成")=J54,"已完成",IF(COUNTIFS(开发任务!$D$5:$D$200,A54,开发任务!$L$5:$L$200,"已完成")+COUNTIFS(开发任务!$D$5:$D$200,A54,开发任务!$L$5:$L$200,"暂缓")=J54,"已完成（暂缓）","进行中")))))</f>
        <v/>
      </c>
    </row>
    <row r="55">
      <c r="A55" s="22" t="inlineStr">
        <is>
          <t>F54</t>
        </is>
      </c>
      <c r="B55" s="22" t="inlineStr">
        <is>
          <t>改版：简易模式 v3</t>
        </is>
      </c>
      <c r="C55" s="22" t="inlineStr">
        <is>
          <t>双语提示词与 AI 扩写</t>
        </is>
      </c>
      <c r="D55" s="22" t="inlineStr">
        <is>
          <t>「AI 扩写」按面板语言生成并回填双语提示词；中英文都可编辑：中文修改提交时自动翻译成英文发送（以用户改稿为准），英文修改直接发送；任务卡片显示实际使用提示词；引擎提示词固定英文</t>
        </is>
      </c>
      <c r="E55" s="22" t="inlineStr">
        <is>
          <t>Prompting/PromptService.cs、Studio/simple.js、MagicPrompt</t>
        </is>
      </c>
      <c r="F55" s="22" t="inlineStr">
        <is>
          <t>高</t>
        </is>
      </c>
      <c r="G55" s="22" t="inlineStr">
        <is>
          <t>运营友好</t>
        </is>
      </c>
      <c r="H55" s="22" t="inlineStr">
        <is>
          <t>简易模式改版需求文档 v3</t>
        </is>
      </c>
      <c r="I55" s="22" t="inlineStr">
        <is>
          <t>T56</t>
        </is>
      </c>
      <c r="J55" s="22">
        <f>COUNTIF(开发任务!$D$5:$D$200,A55)</f>
        <v/>
      </c>
      <c r="K55" s="22">
        <f>IF(J55=0,"—",IF(COUNTIFS(开发任务!$D$5:$D$200,A55,开发任务!$L$5:$L$200,"暂缓")=J55,"暂缓",IF(COUNTIFS(开发任务!$D$5:$D$200,A55,开发任务!$L$5:$L$200,"未开始")=J55,"未开始",IF(COUNTIFS(开发任务!$D$5:$D$200,A55,开发任务!$L$5:$L$200,"已完成")=J55,"已完成",IF(COUNTIFS(开发任务!$D$5:$D$200,A55,开发任务!$L$5:$L$200,"已完成")+COUNTIFS(开发任务!$D$5:$D$200,A55,开发任务!$L$5:$L$200,"暂缓")=J55,"已完成（暂缓）","进行中")))))</f>
        <v/>
      </c>
    </row>
    <row r="56">
      <c r="A56" s="22" t="inlineStr">
        <is>
          <t>F55</t>
        </is>
      </c>
      <c r="B56" s="22" t="inlineStr">
        <is>
          <t>改版：简易模式 v3</t>
        </is>
      </c>
      <c r="C56" s="22" t="inlineStr">
        <is>
          <t>候选张数手动输入与 20 张总上限</t>
        </is>
      </c>
      <c r="D56" s="22" t="inlineStr">
        <is>
          <t>下拉改为数字输入，仅 1–20 正整数；单次出图与一键出整套统一「总张数 ≤ 20」，服务端同步校验；整套预计张数（商品×类型×张数）实时提示；两个出图按钮的区分提示文案</t>
        </is>
      </c>
      <c r="E56" s="22" t="inlineStr">
        <is>
          <t>Studio/simple.js、StudioApi.cs、Generation/BatchService.cs</t>
        </is>
      </c>
      <c r="F56" s="22" t="inlineStr">
        <is>
          <t>高</t>
        </is>
      </c>
      <c r="H56" s="22" t="inlineStr">
        <is>
          <t>简易模式改版需求文档 v3</t>
        </is>
      </c>
      <c r="I56" s="22" t="inlineStr">
        <is>
          <t>T57</t>
        </is>
      </c>
      <c r="J56" s="22">
        <f>COUNTIF(开发任务!$D$5:$D$200,A56)</f>
        <v/>
      </c>
      <c r="K56" s="22">
        <f>IF(J56=0,"—",IF(COUNTIFS(开发任务!$D$5:$D$200,A56,开发任务!$L$5:$L$200,"暂缓")=J56,"暂缓",IF(COUNTIFS(开发任务!$D$5:$D$200,A56,开发任务!$L$5:$L$200,"未开始")=J56,"未开始",IF(COUNTIFS(开发任务!$D$5:$D$200,A56,开发任务!$L$5:$L$200,"已完成")=J56,"已完成",IF(COUNTIFS(开发任务!$D$5:$D$200,A56,开发任务!$L$5:$L$200,"已完成")+COUNTIFS(开发任务!$D$5:$D$200,A56,开发任务!$L$5:$L$200,"暂缓")=J56,"已完成（暂缓）","进行中")))))</f>
        <v/>
      </c>
    </row>
    <row r="57">
      <c r="A57" s="22" t="inlineStr">
        <is>
          <t>F56</t>
        </is>
      </c>
      <c r="B57" s="22" t="inlineStr">
        <is>
          <t>改版：简易模式 v3</t>
        </is>
      </c>
      <c r="C57" s="22" t="inlineStr">
        <is>
          <t>出图链路提速（提交即入队）</t>
        </is>
      </c>
      <c r="D57" s="22" t="inlineStr">
        <is>
          <t>提交立即入队返回任务号，提示词组合/翻译移到后台完成（45 秒上限保留）；已扩写未改或改英文时跳过模型调用；状态三段：生成提示词→排队/执行（含服务器名）→完成；降级不阻塞；一键出整套同样改造</t>
        </is>
      </c>
      <c r="E57" s="22" t="inlineStr">
        <is>
          <t>StudioApi.cs、Generation/</t>
        </is>
      </c>
      <c r="F57" s="22" t="inlineStr">
        <is>
          <t>高</t>
        </is>
      </c>
      <c r="G57" s="22" t="inlineStr">
        <is>
          <t>运营友好</t>
        </is>
      </c>
      <c r="H57" s="22" t="inlineStr">
        <is>
          <t>简易模式改版需求文档 v3</t>
        </is>
      </c>
      <c r="I57" s="22" t="inlineStr">
        <is>
          <t>T58</t>
        </is>
      </c>
      <c r="J57" s="22">
        <f>COUNTIF(开发任务!$D$5:$D$200,A57)</f>
        <v/>
      </c>
      <c r="K57" s="22">
        <f>IF(J57=0,"—",IF(COUNTIFS(开发任务!$D$5:$D$200,A57,开发任务!$L$5:$L$200,"暂缓")=J57,"暂缓",IF(COUNTIFS(开发任务!$D$5:$D$200,A57,开发任务!$L$5:$L$200,"未开始")=J57,"未开始",IF(COUNTIFS(开发任务!$D$5:$D$200,A57,开发任务!$L$5:$L$200,"已完成")=J57,"已完成",IF(COUNTIFS(开发任务!$D$5:$D$200,A57,开发任务!$L$5:$L$200,"已完成")+COUNTIFS(开发任务!$D$5:$D$200,A57,开发任务!$L$5:$L$200,"暂缓")=J57,"已完成（暂缓）","进行中")))))</f>
        <v/>
      </c>
    </row>
    <row r="58">
      <c r="A58" s="22" t="inlineStr">
        <is>
          <t>F57</t>
        </is>
      </c>
      <c r="B58" s="22" t="inlineStr">
        <is>
          <t>改版：简易模式 v3</t>
        </is>
      </c>
      <c r="C58" s="22" t="inlineStr">
        <is>
          <t>标准工作流自动生成</t>
        </is>
      </c>
      <c r="D58" s="22" t="inlineStr">
        <is>
          <t>服务端蓝图生成器按图片类型生成标准 ComfyUI 工作流，以「系统生成」来源经 WorkflowReview 注册发布、可下架；启动自动检查补建 + 管理员设置页初始化按钮与状态清单；默认大模型管理员指定并复用依赖检查；初版覆盖场景、细节与含模特场景</t>
        </is>
      </c>
      <c r="E58" s="22" t="inlineStr">
        <is>
          <t>Templates/、WorkflowReview*.cs、StudioApi.cs、设置页</t>
        </is>
      </c>
      <c r="F58" s="22" t="inlineStr">
        <is>
          <t>高</t>
        </is>
      </c>
      <c r="H58" s="22" t="inlineStr">
        <is>
          <t>简易模式改版需求文档 v3</t>
        </is>
      </c>
      <c r="I58" s="22" t="inlineStr">
        <is>
          <t>T59</t>
        </is>
      </c>
      <c r="J58" s="22">
        <f>COUNTIF(开发任务!$D$5:$D$200,A58)</f>
        <v/>
      </c>
      <c r="K58" s="22">
        <f>IF(J58=0,"—",IF(COUNTIFS(开发任务!$D$5:$D$200,A58,开发任务!$L$5:$L$200,"暂缓")=J58,"暂缓",IF(COUNTIFS(开发任务!$D$5:$D$200,A58,开发任务!$L$5:$L$200,"未开始")=J58,"未开始",IF(COUNTIFS(开发任务!$D$5:$D$200,A58,开发任务!$L$5:$L$200,"已完成")=J58,"已完成",IF(COUNTIFS(开发任务!$D$5:$D$200,A58,开发任务!$L$5:$L$200,"已完成")+COUNTIFS(开发任务!$D$5:$D$200,A58,开发任务!$L$5:$L$200,"暂缓")=J58,"已完成（暂缓）","进行中")))))</f>
        <v/>
      </c>
    </row>
    <row r="59">
      <c r="A59" s="22" t="inlineStr">
        <is>
          <t>F58</t>
        </is>
      </c>
      <c r="B59" s="22" t="inlineStr">
        <is>
          <t>后续：功能增强</t>
        </is>
      </c>
      <c r="C59" s="22" t="inlineStr">
        <is>
          <t>平台预设槽位化</t>
        </is>
      </c>
      <c r="D59" s="22" t="inlineStr">
        <is>
          <t>按槽位定义各平台图片规格：多槽位尺寸与比例、白底位置与张数、主体占比下限、单张大小上限（导出自动压缩）、禁用内容、AI 标识策略；套图按平台槽位组合模板；附 N06 规范核对清单</t>
        </is>
      </c>
      <c r="E59" s="22" t="inlineStr">
        <is>
          <t>Templates/platforms.json；Studio/Export/；EcomTemplate.cs</t>
        </is>
      </c>
      <c r="F59" s="22" t="inlineStr">
        <is>
          <t>中</t>
        </is>
      </c>
      <c r="H59" s="22" t="inlineStr">
        <is>
          <t>2026-10-28 平台差异讨论（与决策 A10 同期）</t>
        </is>
      </c>
      <c r="I59" s="22" t="inlineStr">
        <is>
          <t>T60</t>
        </is>
      </c>
      <c r="J59" s="22">
        <f>COUNTIF(开发任务!$D$5:$D$200,A59)</f>
        <v/>
      </c>
      <c r="K59" s="22">
        <f>IF(J59=0,"—",IF(COUNTIFS(开发任务!$D$5:$D$200,A59,开发任务!$L$5:$L$200,"暂缓")=J59,"暂缓",IF(COUNTIFS(开发任务!$D$5:$D$200,A59,开发任务!$L$5:$L$200,"未开始")=J59,"未开始",IF(COUNTIFS(开发任务!$D$5:$D$200,A59,开发任务!$L$5:$L$200,"已完成")=J59,"已完成",IF(COUNTIFS(开发任务!$D$5:$D$200,A59,开发任务!$L$5:$L$200,"已完成")+COUNTIFS(开发任务!$D$5:$D$200,A59,开发任务!$L$5:$L$200,"暂缓")=J59,"已完成（暂缓）","进行中")))))</f>
        <v/>
      </c>
      <c r="M59" s="22" t="inlineStr">
        <is>
          <t>设计方案已确认（2026-10-28，见 docs/EcomCraft 平台预设槽位设计.zh-CN.md 第 6 节）；规范数值待 N06 逐项核对官方最新规则后置 verified</t>
        </is>
      </c>
    </row>
    <row r="60" s="23">
      <c r="A60" s="22" t="inlineStr">
        <is>
          <t>F59</t>
        </is>
      </c>
      <c r="B60" s="22" t="inlineStr">
        <is>
          <t>后续：功能增强</t>
        </is>
      </c>
      <c r="C60" s="22" t="inlineStr">
        <is>
          <t>参考图（一张参考出一张图）</t>
        </is>
      </c>
      <c r="D60" s="22" t="inlineStr">
        <is>
          <t>上传多张参考图（如竞品成品图，最多 8 张）进入独立参考模式：图片类型、视觉风格、需要模特、品牌资料包、一句话描述、候选张数和卖点分镜均不生效；逐张展示可编辑提示词（视觉模型生成，英文可改、以改稿为准）；每张参考固定出 1 张；画面参考（图生图）为 P2，需另装模型；只还原感觉不复刻；参考图临时使用不落盘</t>
        </is>
      </c>
      <c r="E60" s="22" t="inlineStr">
        <is>
          <t>Studio/simple.js；Prompting/PromptService.cs；Generation/BatchService.cs；MagicPrompt；EcomTemplate.cs</t>
        </is>
      </c>
      <c r="F60" s="22" t="inlineStr">
        <is>
          <t>高</t>
        </is>
      </c>
      <c r="G60" s="22" t="inlineStr">
        <is>
          <t>运营友好</t>
        </is>
      </c>
      <c r="H60" s="22" t="inlineStr">
        <is>
          <t>2026-10-28 需求讨论（决策 A11）</t>
        </is>
      </c>
      <c r="I60" s="22" t="inlineStr">
        <is>
          <t>T61、T62</t>
        </is>
      </c>
      <c r="J60" s="22">
        <f>COUNTIF(开发任务!$D$5:$D$200,A60)</f>
        <v/>
      </c>
      <c r="K60" s="22">
        <f>IF(J60=0,"—",IF(COUNTIFS(开发任务!$D$5:$D$200,A60,开发任务!$L$5:$L$200,"暂缓")=J60,"暂缓",IF(COUNTIFS(开发任务!$D$5:$D$200,A60,开发任务!$L$5:$L$200,"未开始")=J60,"未开始",IF(COUNTIFS(开发任务!$D$5:$D$200,A60,开发任务!$L$5:$L$200,"已完成")=J60,"已完成",IF(COUNTIFS(开发任务!$D$5:$D$200,A60,开发任务!$L$5:$L$200,"已完成")+COUNTIFS(开发任务!$D$5:$D$200,A60,开发任务!$L$5:$L$200,"暂缓")=J60,"已完成（暂缓）","进行中")))))</f>
        <v/>
      </c>
      <c r="M60" s="22" t="inlineStr">
        <is>
          <t>需求见 docs/EcomCraft 参考图需求.zh-CN.md；P2（T62）依赖 N10</t>
        </is>
      </c>
    </row>
    <row r="61" s="23">
      <c r="A61" s="22" t="inlineStr">
        <is>
          <t>F60</t>
        </is>
      </c>
      <c r="B61" s="22" t="inlineStr">
        <is>
          <t>改版：界面 v4</t>
        </is>
      </c>
      <c r="C61" s="22" t="inlineStr">
        <is>
          <t>专业模式向所有账号开放</t>
        </is>
      </c>
      <c r="D61" s="22" t="inlineStr">
        <is>
          <t>平面设计人员用专业模式调整模型、采样器、LoRA、步数等参数（决策 A2）：任何账号都可以从导航切换到专业模式，默认仍进入简易模式；管理视图仍只对管理员可见；设计师可在专业模式里上传 ComfyUI 工作流 JSON，经服务端校验后上传者自己马上能用，其他账号要经审核发布（决策 U6，2026-10-29 修订）</t>
        </is>
      </c>
      <c r="E61" s="22" t="inlineStr">
        <is>
          <t>Studio/studio.js；Studio/simple.js；StudioApi.cs</t>
        </is>
      </c>
      <c r="F61" s="22" t="inlineStr">
        <is>
          <t>高</t>
        </is>
      </c>
      <c r="G61" s="22" t="inlineStr">
        <is>
          <t>设计友好</t>
        </is>
      </c>
      <c r="H61" s="22" t="inlineStr">
        <is>
          <t>2026-10-29 目标用户讨论（决策 A2、A12）</t>
        </is>
      </c>
      <c r="I61" s="22" t="inlineStr">
        <is>
          <t>T63、T73</t>
        </is>
      </c>
      <c r="J61" s="22">
        <f>COUNTIF(开发任务!$D$5:$D$200,A61)</f>
        <v/>
      </c>
      <c r="K61" s="22">
        <f>IF(J61=0,"—",IF(COUNTIFS(开发任务!$D$5:$D$200,A61,开发任务!$L$5:$L$200,"暂缓")=J61,"暂缓",IF(COUNTIFS(开发任务!$D$5:$D$200,A61,开发任务!$L$5:$L$200,"未开始")=J61,"未开始",IF(COUNTIFS(开发任务!$D$5:$D$200,A61,开发任务!$L$5:$L$200,"已完成")=J61,"已完成",IF(COUNTIFS(开发任务!$D$5:$D$200,A61,开发任务!$L$5:$L$200,"已完成")+COUNTIFS(开发任务!$D$5:$D$200,A61,开发任务!$L$5:$L$200,"暂缓")=J61,"已完成（暂缓）","进行中")))))</f>
        <v/>
      </c>
      <c r="M61" s="22" t="n"/>
    </row>
    <row r="62">
      <c r="A62" s="22" t="inlineStr">
        <is>
          <t>F61</t>
        </is>
      </c>
      <c r="B62" s="22" t="inlineStr">
        <is>
          <t>改版：界面 v4</t>
        </is>
      </c>
      <c r="C62" s="22" t="inlineStr">
        <is>
          <t>简易模式先选任务</t>
        </is>
      </c>
      <c r="D62" s="22" t="inlineStr">
        <is>
          <t>顶部三个任务卡片：照参考图做（默认）、做一张图、出一整套；第 2 步按任务只显示需要的选项；风格、模特、品牌资料包、描述与提示词收进“更多选项”</t>
        </is>
      </c>
      <c r="E62" s="22" t="inlineStr">
        <is>
          <t>Studio/simple.js；index.html；studio.css</t>
        </is>
      </c>
      <c r="F62" s="22" t="inlineStr">
        <is>
          <t>高</t>
        </is>
      </c>
      <c r="G62" s="22" t="inlineStr">
        <is>
          <t>运营友好</t>
        </is>
      </c>
      <c r="H62" s="22" t="inlineStr">
        <is>
          <t>2026-10-29 界面改版讨论（决策 A13）</t>
        </is>
      </c>
      <c r="I62" s="22" t="inlineStr">
        <is>
          <t>T64</t>
        </is>
      </c>
      <c r="J62" s="22">
        <f>COUNTIF(开发任务!$D$5:$D$200,A62)</f>
        <v/>
      </c>
      <c r="K62" s="22">
        <f>IF(J62=0,"—",IF(COUNTIFS(开发任务!$D$5:$D$200,A62,开发任务!$L$5:$L$200,"暂缓")=J62,"暂缓",IF(COUNTIFS(开发任务!$D$5:$D$200,A62,开发任务!$L$5:$L$200,"未开始")=J62,"未开始",IF(COUNTIFS(开发任务!$D$5:$D$200,A62,开发任务!$L$5:$L$200,"已完成")=J62,"已完成",IF(COUNTIFS(开发任务!$D$5:$D$200,A62,开发任务!$L$5:$L$200,"已完成")+COUNTIFS(开发任务!$D$5:$D$200,A62,开发任务!$L$5:$L$200,"暂缓")=J62,"已完成（暂缓）","进行中")))))</f>
        <v/>
      </c>
      <c r="M62" s="22" t="inlineStr">
        <is>
          <t>需求见 docs/EcomCraft 界面改版需求.zh-CN.md</t>
        </is>
      </c>
    </row>
    <row r="63">
      <c r="A63" s="22" t="inlineStr">
        <is>
          <t>F62</t>
        </is>
      </c>
      <c r="B63" s="22" t="inlineStr">
        <is>
          <t>改版：界面 v4</t>
        </is>
      </c>
      <c r="C63" s="22" t="inlineStr">
        <is>
          <t>导航、管理菜单与用词统一</t>
        </is>
      </c>
      <c r="D63" s="22" t="inlineStr">
        <is>
          <t>顶栏：出图 / 专业模式 / 画廊 / 队列；管理员的“管理”菜单收纳工作流审核、设置向导、提示词设置、存储与备份、原生引擎；按需求文档第 3 节统一用词</t>
        </is>
      </c>
      <c r="E63" s="22" t="inlineStr">
        <is>
          <t>Studio/index.html；studio.js；lang/en.js</t>
        </is>
      </c>
      <c r="F63" s="22" t="inlineStr">
        <is>
          <t>高</t>
        </is>
      </c>
      <c r="G63" s="22" t="n"/>
      <c r="H63" s="22" t="inlineStr">
        <is>
          <t>2026-10-29 界面改版讨论（决策 A13）</t>
        </is>
      </c>
      <c r="I63" s="22" t="inlineStr">
        <is>
          <t>T65</t>
        </is>
      </c>
      <c r="J63" s="22">
        <f>COUNTIF(开发任务!$D$5:$D$200,A63)</f>
        <v/>
      </c>
      <c r="K63" s="22">
        <f>IF(J63=0,"—",IF(COUNTIFS(开发任务!$D$5:$D$200,A63,开发任务!$L$5:$L$200,"暂缓")=J63,"暂缓",IF(COUNTIFS(开发任务!$D$5:$D$200,A63,开发任务!$L$5:$L$200,"未开始")=J63,"未开始",IF(COUNTIFS(开发任务!$D$5:$D$200,A63,开发任务!$L$5:$L$200,"已完成")=J63,"已完成",IF(COUNTIFS(开发任务!$D$5:$D$200,A63,开发任务!$L$5:$L$200,"已完成")+COUNTIFS(开发任务!$D$5:$D$200,A63,开发任务!$L$5:$L$200,"暂缓")=J63,"已完成（暂缓）","进行中")))))</f>
        <v/>
      </c>
      <c r="M63" s="22" t="inlineStr">
        <is>
          <t>需求见 docs/EcomCraft 界面改版需求.zh-CN.md</t>
        </is>
      </c>
    </row>
    <row r="64">
      <c r="A64" s="22" t="inlineStr">
        <is>
          <t>F63</t>
        </is>
      </c>
      <c r="B64" s="22" t="inlineStr">
        <is>
          <t>改版：界面 v4</t>
        </is>
      </c>
      <c r="C64" s="22" t="inlineStr">
        <is>
          <t>手机只做简易模式</t>
        </is>
      </c>
      <c r="D64" s="22" t="inlineStr">
        <is>
          <t>窄屏不显示专业模式入口，打开 #create 时提示到电脑上操作；简易模式、画廊、队列在手机上可用</t>
        </is>
      </c>
      <c r="E64" s="22" t="inlineStr">
        <is>
          <t>Studio/studio.css；studio.js</t>
        </is>
      </c>
      <c r="F64" s="22" t="inlineStr">
        <is>
          <t>中</t>
        </is>
      </c>
      <c r="G64" s="22" t="inlineStr">
        <is>
          <t>运营友好</t>
        </is>
      </c>
      <c r="H64" s="22" t="inlineStr">
        <is>
          <t>2026-10-29 界面改版讨论（决策 A13）</t>
        </is>
      </c>
      <c r="I64" s="22" t="inlineStr">
        <is>
          <t>T66</t>
        </is>
      </c>
      <c r="J64" s="22">
        <f>COUNTIF(开发任务!$D$5:$D$200,A64)</f>
        <v/>
      </c>
      <c r="K64" s="22">
        <f>IF(J64=0,"—",IF(COUNTIFS(开发任务!$D$5:$D$200,A64,开发任务!$L$5:$L$200,"暂缓")=J64,"暂缓",IF(COUNTIFS(开发任务!$D$5:$D$200,A64,开发任务!$L$5:$L$200,"未开始")=J64,"未开始",IF(COUNTIFS(开发任务!$D$5:$D$200,A64,开发任务!$L$5:$L$200,"已完成")=J64,"已完成",IF(COUNTIFS(开发任务!$D$5:$D$200,A64,开发任务!$L$5:$L$200,"已完成")+COUNTIFS(开发任务!$D$5:$D$200,A64,开发任务!$L$5:$L$200,"暂缓")=J64,"已完成（暂缓）","进行中")))))</f>
        <v/>
      </c>
      <c r="M64" s="22" t="inlineStr">
        <is>
          <t>需求见 docs/EcomCraft 界面改版需求.zh-CN.md</t>
        </is>
      </c>
    </row>
    <row r="65">
      <c r="A65" s="22" t="inlineStr">
        <is>
          <t>F64</t>
        </is>
      </c>
      <c r="B65" s="22" t="inlineStr">
        <is>
          <t>改版：界面 v4</t>
        </is>
      </c>
      <c r="C65" s="22" t="inlineStr">
        <is>
          <t>简易模式到专业模式单向衔接</t>
        </is>
      </c>
      <c r="D65" s="22" t="inlineStr">
        <is>
          <t>候选图“在专业模式里精修”：带上这张图和实际发送的英文提示词进入专业模式；不回写简易模式</t>
        </is>
      </c>
      <c r="E65" s="22" t="inlineStr">
        <is>
          <t>Studio/simple.js；studio.js</t>
        </is>
      </c>
      <c r="F65" s="22" t="inlineStr">
        <is>
          <t>中</t>
        </is>
      </c>
      <c r="G65" s="22" t="inlineStr">
        <is>
          <t>设计友好</t>
        </is>
      </c>
      <c r="H65" s="22" t="inlineStr">
        <is>
          <t>2026-10-29 界面改版讨论（决策 A13）</t>
        </is>
      </c>
      <c r="I65" s="22" t="inlineStr">
        <is>
          <t>T67</t>
        </is>
      </c>
      <c r="J65" s="22">
        <f>COUNTIF(开发任务!$D$5:$D$200,A65)</f>
        <v/>
      </c>
      <c r="K65" s="22">
        <f>IF(J65=0,"—",IF(COUNTIFS(开发任务!$D$5:$D$200,A65,开发任务!$L$5:$L$200,"暂缓")=J65,"暂缓",IF(COUNTIFS(开发任务!$D$5:$D$200,A65,开发任务!$L$5:$L$200,"未开始")=J65,"未开始",IF(COUNTIFS(开发任务!$D$5:$D$200,A65,开发任务!$L$5:$L$200,"已完成")=J65,"已完成",IF(COUNTIFS(开发任务!$D$5:$D$200,A65,开发任务!$L$5:$L$200,"已完成")+COUNTIFS(开发任务!$D$5:$D$200,A65,开发任务!$L$5:$L$200,"暂缓")=J65,"已完成（暂缓）","进行中")))))</f>
        <v/>
      </c>
      <c r="M65" s="22" t="inlineStr">
        <is>
          <t>需求见 docs/EcomCraft 界面改版需求.zh-CN.md</t>
        </is>
      </c>
    </row>
    <row r="66">
      <c r="A66" s="22" t="inlineStr">
        <is>
          <t>F65</t>
        </is>
      </c>
      <c r="B66" s="22" t="inlineStr">
        <is>
          <t>改版：界面 v4</t>
        </is>
      </c>
      <c r="C66" s="22" t="inlineStr">
        <is>
          <t>候选图收藏（初筛）</t>
        </is>
      </c>
      <c r="D66" s="22" t="inlineStr">
        <is>
          <t>候选图上的收藏按钮复用画廊收藏（ToggleImageStarred）；收藏的图不被候选清理</t>
        </is>
      </c>
      <c r="E66" s="22" t="inlineStr">
        <is>
          <t>Studio/simple.js；Generation/（候选清理）</t>
        </is>
      </c>
      <c r="F66" s="22" t="inlineStr">
        <is>
          <t>中</t>
        </is>
      </c>
      <c r="G66" s="22" t="inlineStr">
        <is>
          <t>运营友好</t>
        </is>
      </c>
      <c r="H66" s="22" t="inlineStr">
        <is>
          <t>2026-10-29 界面改版讨论（决策 A13）</t>
        </is>
      </c>
      <c r="I66" s="22" t="inlineStr">
        <is>
          <t>T68</t>
        </is>
      </c>
      <c r="J66" s="22">
        <f>COUNTIF(开发任务!$D$5:$D$200,A66)</f>
        <v/>
      </c>
      <c r="K66" s="22">
        <f>IF(J66=0,"—",IF(COUNTIFS(开发任务!$D$5:$D$200,A66,开发任务!$L$5:$L$200,"暂缓")=J66,"暂缓",IF(COUNTIFS(开发任务!$D$5:$D$200,A66,开发任务!$L$5:$L$200,"未开始")=J66,"未开始",IF(COUNTIFS(开发任务!$D$5:$D$200,A66,开发任务!$L$5:$L$200,"已完成")=J66,"已完成",IF(COUNTIFS(开发任务!$D$5:$D$200,A66,开发任务!$L$5:$L$200,"已完成")+COUNTIFS(开发任务!$D$5:$D$200,A66,开发任务!$L$5:$L$200,"暂缓")=J66,"已完成（暂缓）","进行中")))))</f>
        <v/>
      </c>
      <c r="M66" s="22" t="inlineStr">
        <is>
          <t>需求见 docs/EcomCraft 界面改版需求.zh-CN.md</t>
        </is>
      </c>
    </row>
    <row r="67">
      <c r="A67" s="22" t="inlineStr">
        <is>
          <t>F66</t>
        </is>
      </c>
      <c r="B67" s="22" t="inlineStr">
        <is>
          <t>改版：界面 v4</t>
        </is>
      </c>
      <c r="C67" s="22" t="inlineStr">
        <is>
          <t>画廊与队列整理</t>
        </is>
      </c>
      <c r="D67" s="22" t="inlineStr">
        <is>
          <t>画廊收藏筛选与按任务来源分组；队列把我的任务放在前面</t>
        </is>
      </c>
      <c r="E67" s="22" t="inlineStr">
        <is>
          <t>Studio/studio.js；index.html</t>
        </is>
      </c>
      <c r="F67" s="22" t="inlineStr">
        <is>
          <t>低</t>
        </is>
      </c>
      <c r="G67" s="22" t="n"/>
      <c r="H67" s="22" t="inlineStr">
        <is>
          <t>2026-10-29 界面改版讨论（决策 A13）</t>
        </is>
      </c>
      <c r="I67" s="22" t="inlineStr">
        <is>
          <t>T69</t>
        </is>
      </c>
      <c r="J67" s="22">
        <f>COUNTIF(开发任务!$D$5:$D$200,A67)</f>
        <v/>
      </c>
      <c r="K67" s="22">
        <f>IF(J67=0,"—",IF(COUNTIFS(开发任务!$D$5:$D$200,A67,开发任务!$L$5:$L$200,"暂缓")=J67,"暂缓",IF(COUNTIFS(开发任务!$D$5:$D$200,A67,开发任务!$L$5:$L$200,"未开始")=J67,"未开始",IF(COUNTIFS(开发任务!$D$5:$D$200,A67,开发任务!$L$5:$L$200,"已完成")=J67,"已完成",IF(COUNTIFS(开发任务!$D$5:$D$200,A67,开发任务!$L$5:$L$200,"已完成")+COUNTIFS(开发任务!$D$5:$D$200,A67,开发任务!$L$5:$L$200,"暂缓")=J67,"已完成（暂缓）","进行中")))))</f>
        <v/>
      </c>
      <c r="M67" s="22" t="inlineStr">
        <is>
          <t>需求见 docs/EcomCraft 界面改版需求.zh-CN.md</t>
        </is>
      </c>
    </row>
    <row r="68" s="23">
      <c r="A68" s="22" t="inlineStr">
        <is>
          <t>F67</t>
        </is>
      </c>
      <c r="B68" s="22" t="inlineStr">
        <is>
          <t>改版：界面 v4</t>
        </is>
      </c>
      <c r="C68" s="22" t="inlineStr">
        <is>
          <t>收藏偏好分析与提示词反哺</t>
        </is>
      </c>
      <c r="D68" s="22" t="inlineStr">
        <is>
          <t>按账号统计收藏率高的选项并预选；对比收藏与未收藏的提示词，提出“你可能喜欢的描述”由用户确认后加入；草案见需求文档第 6 节</t>
        </is>
      </c>
      <c r="E68" s="22" t="inlineStr">
        <is>
          <t>待定</t>
        </is>
      </c>
      <c r="F68" s="22" t="inlineStr">
        <is>
          <t>低</t>
        </is>
      </c>
      <c r="G68" s="22" t="n"/>
      <c r="H68" s="22" t="inlineStr">
        <is>
          <t>2026-10-29 界面改版讨论（决策 A13）</t>
        </is>
      </c>
      <c r="I68" s="22" t="inlineStr">
        <is>
          <t>T70</t>
        </is>
      </c>
      <c r="J68" s="22">
        <f>COUNTIF(开发任务!$D$5:$D$200,A68)</f>
        <v/>
      </c>
      <c r="K68" s="22">
        <f>IF(J68=0,"—",IF(COUNTIFS(开发任务!$D$5:$D$200,A68,开发任务!$L$5:$L$200,"暂缓")=J68,"暂缓",IF(COUNTIFS(开发任务!$D$5:$D$200,A68,开发任务!$L$5:$L$200,"未开始")=J68,"未开始",IF(COUNTIFS(开发任务!$D$5:$D$200,A68,开发任务!$L$5:$L$200,"已完成")=J68,"已完成",IF(COUNTIFS(开发任务!$D$5:$D$200,A68,开发任务!$L$5:$L$200,"已完成")+COUNTIFS(开发任务!$D$5:$D$200,A68,开发任务!$L$5:$L$200,"暂缓")=J68,"已完成（暂缓）","进行中")))))</f>
        <v/>
      </c>
      <c r="M68" s="22" t="inlineStr">
        <is>
          <t>需求见 docs/EcomCraft 界面改版需求.zh-CN.md</t>
        </is>
      </c>
    </row>
    <row r="69">
      <c r="A69" s="22" t="inlineStr">
        <is>
          <t>F68</t>
        </is>
      </c>
      <c r="B69" s="22" t="inlineStr">
        <is>
          <t>改版：界面 v4</t>
        </is>
      </c>
      <c r="C69" s="22" t="inlineStr">
        <is>
          <t>看图描述默认开启与配置引导</t>
        </is>
      </c>
      <c r="D69" s="22" t="inlineStr">
        <is>
          <t>看图描述默认开启（只用于参考图，商品图描述仍默认关闭）；新增视觉模型状态检查，没有可用视觉模型时“照参考图做”说明缺什么：管理员看到处理步骤，普通账号看到请联系管理员</t>
        </is>
      </c>
      <c r="E69" s="22" t="inlineStr">
        <is>
          <t>Prompting/PromptService.cs；Studio/simple.js</t>
        </is>
      </c>
      <c r="F69" s="22" t="inlineStr">
        <is>
          <t>高</t>
        </is>
      </c>
      <c r="G69" s="22" t="inlineStr">
        <is>
          <t>运营友好</t>
        </is>
      </c>
      <c r="H69" s="22" t="inlineStr">
        <is>
          <t>2026-10-29 用户确认（决策 U12、A5 修订）</t>
        </is>
      </c>
      <c r="I69" s="22" t="inlineStr">
        <is>
          <t>T71</t>
        </is>
      </c>
      <c r="J69" s="22">
        <f>COUNTIF(开发任务!$D$5:$D$200,A69)</f>
        <v/>
      </c>
      <c r="K69" s="22">
        <f>IF(J69=0,"—",IF(COUNTIFS(开发任务!$D$5:$D$200,A69,开发任务!$L$5:$L$200,"暂缓")=J69,"暂缓",IF(COUNTIFS(开发任务!$D$5:$D$200,A69,开发任务!$L$5:$L$200,"未开始")=J69,"未开始",IF(COUNTIFS(开发任务!$D$5:$D$200,A69,开发任务!$L$5:$L$200,"已完成")=J69,"已完成",IF(COUNTIFS(开发任务!$D$5:$D$200,A69,开发任务!$L$5:$L$200,"已完成")+COUNTIFS(开发任务!$D$5:$D$200,A69,开发任务!$L$5:$L$200,"暂缓")=J69,"已完成（暂缓）","进行中")))))</f>
        <v/>
      </c>
      <c r="M69" s="22" t="inlineStr">
        <is>
          <t>需求见 docs/EcomCraft 界面改版需求.zh-CN.md</t>
        </is>
      </c>
    </row>
    <row r="70" s="23">
      <c r="A70" s="22" t="inlineStr">
        <is>
          <t>F69</t>
        </is>
      </c>
      <c r="B70" s="22" t="inlineStr">
        <is>
          <t>改版：界面 v4</t>
        </is>
      </c>
      <c r="C70" s="22" t="inlineStr">
        <is>
          <t>看图模型一键安装脚本</t>
        </is>
      </c>
      <c r="D70" s="22" t="inlineStr">
        <is>
          <t>管理员运行脚本自动安装 Ollama 并拉取默认视觉模型；Windows 与 Linux 各一份</t>
        </is>
      </c>
      <c r="E70" s="22" t="inlineStr">
        <is>
          <t>新增脚本；docs/EcomCraft Prompt Enhancement</t>
        </is>
      </c>
      <c r="F70" s="22" t="inlineStr">
        <is>
          <t>中</t>
        </is>
      </c>
      <c r="G70" s="22" t="n"/>
      <c r="H70" s="22" t="inlineStr">
        <is>
          <t>2026-10-29 用户确认（决策 U12、A5 修订）</t>
        </is>
      </c>
      <c r="I70" s="22" t="inlineStr">
        <is>
          <t>T72</t>
        </is>
      </c>
      <c r="J70" s="22">
        <f>COUNTIF(开发任务!$D$5:$D$200,A70)</f>
        <v/>
      </c>
      <c r="K70" s="22">
        <f>IF(J70=0,"—",IF(COUNTIFS(开发任务!$D$5:$D$200,A70,开发任务!$L$5:$L$200,"暂缓")=J70,"暂缓",IF(COUNTIFS(开发任务!$D$5:$D$200,A70,开发任务!$L$5:$L$200,"未开始")=J70,"未开始",IF(COUNTIFS(开发任务!$D$5:$D$200,A70,开发任务!$L$5:$L$200,"已完成")=J70,"已完成",IF(COUNTIFS(开发任务!$D$5:$D$200,A70,开发任务!$L$5:$L$200,"已完成")+COUNTIFS(开发任务!$D$5:$D$200,A70,开发任务!$L$5:$L$200,"暂缓")=J70,"已完成（暂缓）","进行中")))))</f>
        <v/>
      </c>
      <c r="M70" s="22" t="inlineStr">
        <is>
          <t>需求见 docs/EcomCraft 界面改版需求.zh-CN.md</t>
        </is>
      </c>
    </row>
    <row r="71" s="23">
      <c r="A71" s="22" t="inlineStr">
        <is>
          <t>F70</t>
        </is>
      </c>
      <c r="B71" s="22" t="inlineStr">
        <is>
          <t>后续：功能增强</t>
        </is>
      </c>
      <c r="C71" s="22" t="inlineStr">
        <is>
          <t>预计剩余时间</t>
        </is>
      </c>
      <c r="D71" s="22" t="inlineStr">
        <is>
          <t>生成提示词、写分镜、看图描述、优化提示词和出图显示“预计还需约多久”；按最近 20 次实际耗时的中位数估算（只记秒数、不记内容、存内存重启清空）；出图按工作流 + 尺寸 + 执行服务器统计单张耗时，排队中的任务显示“约多久后开始”；超时显示“比平时慢，仍在处理”；没有历史数据时只显示已用时间</t>
        </is>
      </c>
      <c r="E71" s="22" t="inlineStr">
        <is>
          <t>Generation/TaskTiming.cs、DurationRules.cs；StudioApi.cs；BatchService.cs；PromptService.cs；Studio/simple.js、studio.js</t>
        </is>
      </c>
      <c r="F71" s="22" t="inlineStr">
        <is>
          <t>中</t>
        </is>
      </c>
      <c r="G71" s="22" t="inlineStr">
        <is>
          <t>运营友好</t>
        </is>
      </c>
      <c r="H71" s="22" t="inlineStr">
        <is>
          <t>2026-10-29 用户确认</t>
        </is>
      </c>
      <c r="I71" s="22" t="inlineStr">
        <is>
          <t>T74</t>
        </is>
      </c>
      <c r="J71" s="22">
        <f>COUNTIF(开发任务!$D$5:$D$200,A71)</f>
        <v/>
      </c>
      <c r="K71" s="22">
        <f>IF(J71=0,"—",IF(COUNTIFS(开发任务!$D$5:$D$200,A71,开发任务!$L$5:$L$200,"暂缓")=J71,"暂缓",IF(COUNTIFS(开发任务!$D$5:$D$200,A71,开发任务!$L$5:$L$200,"未开始")=J71,"未开始",IF(COUNTIFS(开发任务!$D$5:$D$200,A71,开发任务!$L$5:$L$200,"已完成")=J71,"已完成",IF(COUNTIFS(开发任务!$D$5:$D$200,A71,开发任务!$L$5:$L$200,"已完成")+COUNTIFS(开发任务!$D$5:$D$200,A71,开发任务!$L$5:$L$200,"暂缓")=J71,"已完成（暂缓）","进行中")))))</f>
        <v/>
      </c>
      <c r="M71" s="22" t="n"/>
    </row>
  </sheetData>
  <autoFilter ref="A4:M31"/>
  <conditionalFormatting sqref="K5:K200">
    <cfRule type="expression" priority="1" dxfId="7">
      <formula>$K5="已完成"</formula>
    </cfRule>
    <cfRule type="expression" priority="2" dxfId="8">
      <formula>$K5="进行中"</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N78"/>
  <sheetViews>
    <sheetView showFormulas="0" showGridLines="1" showRowColHeaders="1" showZeros="1" rightToLeft="0" tabSelected="0" showOutlineSymbols="1" defaultGridColor="1"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A1" activeCellId="0" sqref="A1"/>
    </sheetView>
  </sheetViews>
  <sheetFormatPr baseColWidth="8" defaultColWidth="8.6796875" defaultRowHeight="15" zeroHeight="0" outlineLevelRow="0"/>
  <cols>
    <col width="6" customWidth="1" style="22" min="1" max="1"/>
    <col width="8" customWidth="1" style="22" min="2" max="2"/>
    <col width="20" customWidth="1" style="22" min="3" max="3"/>
    <col width="8" customWidth="1" style="22" min="4" max="4"/>
    <col width="26" customWidth="1" style="22" min="5" max="5"/>
    <col width="32" customWidth="1" style="22" min="6" max="6"/>
    <col width="14" customWidth="1" style="22" min="7" max="7"/>
    <col width="6" customWidth="1" style="22" min="8" max="8"/>
    <col width="36" customWidth="1" style="22" min="9" max="9"/>
    <col width="26" customWidth="1" style="22" min="10" max="10"/>
    <col width="70" customWidth="1" style="22" min="11" max="11"/>
    <col width="9" customWidth="1" style="22" min="12" max="12"/>
    <col width="12" customWidth="1" style="22" min="13" max="13"/>
    <col width="18" customWidth="1" style="22" min="14" max="14"/>
  </cols>
  <sheetData>
    <row r="1" ht="21.6" customHeight="1" s="23">
      <c r="A1" s="35" t="inlineStr">
        <is>
          <t>Claude Code 开发任务</t>
        </is>
      </c>
    </row>
    <row r="2" ht="17.15" customHeight="1" s="23">
      <c r="A2" s="29" t="inlineStr">
        <is>
          <t>按“顺序”执行；复制 K 列提示词到 Claude Code；状态从下拉选择。提示词已包含遵守 AGENTS.md 与架构文档、先出方案、中英文文档同步和完成后验证的要求。</t>
        </is>
      </c>
    </row>
    <row r="4" ht="32.8" customHeight="1" s="23">
      <c r="A4" s="30" t="inlineStr">
        <is>
          <t>顺序</t>
        </is>
      </c>
      <c r="B4" s="30" t="inlineStr">
        <is>
          <t>任务编号</t>
        </is>
      </c>
      <c r="C4" s="30" t="inlineStr">
        <is>
          <t>阶段</t>
        </is>
      </c>
      <c r="D4" s="30" t="inlineStr">
        <is>
          <t>功能编号</t>
        </is>
      </c>
      <c r="E4" s="30" t="inlineStr">
        <is>
          <t>任务</t>
        </is>
      </c>
      <c r="F4" s="30" t="inlineStr">
        <is>
          <t>涉及文件 / 模块</t>
        </is>
      </c>
      <c r="G4" s="30" t="inlineStr">
        <is>
          <t>依赖</t>
        </is>
      </c>
      <c r="H4" s="30" t="inlineStr">
        <is>
          <t>规模</t>
        </is>
      </c>
      <c r="I4" s="30" t="inlineStr">
        <is>
          <t>验收标准</t>
        </is>
      </c>
      <c r="J4" s="30" t="inlineStr">
        <is>
          <t>测试方式</t>
        </is>
      </c>
      <c r="K4" s="36" t="inlineStr">
        <is>
          <t>Claude Code 提示词</t>
        </is>
      </c>
      <c r="L4" s="30" t="inlineStr">
        <is>
          <t>状态</t>
        </is>
      </c>
      <c r="M4" s="30" t="inlineStr">
        <is>
          <t>完成日期</t>
        </is>
      </c>
      <c r="N4" s="30" t="inlineStr">
        <is>
          <t>备注</t>
        </is>
      </c>
    </row>
    <row r="5" ht="283" customHeight="1" s="23">
      <c r="A5" s="47" t="n">
        <v>1</v>
      </c>
      <c r="B5" s="47" t="inlineStr">
        <is>
          <t>T00</t>
        </is>
      </c>
      <c r="C5" s="40" t="inlineStr">
        <is>
          <t>MVP-A：平台底座</t>
        </is>
      </c>
      <c r="D5" s="33" t="inlineStr">
        <is>
          <t>基础</t>
        </is>
      </c>
      <c r="E5" s="40" t="inlineStr">
        <is>
          <t>创建 CLAUDE.md 并导入 AGENTS.md</t>
        </is>
      </c>
      <c r="F5" s="42" t="inlineStr">
        <is>
          <t>CLAUDE.md（仓库根目录）</t>
        </is>
      </c>
      <c r="G5" s="42" t="inlineStr">
        <is>
          <t>—</t>
        </is>
      </c>
      <c r="H5" s="47" t="inlineStr">
        <is>
          <t>S</t>
        </is>
      </c>
      <c r="I5" s="42" t="inlineStr">
        <is>
          <t>Claude Code 启动时同时加载 CLAUDE.md 与 AGENTS.md；CLAUDE.md 写明常用命令、架构文档、需求文档和开发总表的位置以及中英文文档要求</t>
        </is>
      </c>
      <c r="J5" s="40" t="inlineStr">
        <is>
          <t>新开会话，询问本项目的 EcomCraft 规则和文档位置，应能正确回答</t>
        </is>
      </c>
      <c r="K5"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任务：在仓库根目录创建 CLAUDE.md：第一行用 @AGENTS.md 导入现有规则；补充 EcomCraft 常用的构建与检查命令（先查看仓库中实际存在的脚本和测试，不要编造命令；注意 .gitignore 忽略了 Tests/ 目录）、“修改 C# 扩展后需按 AGENTS.md 重新构建扩展”的提醒，以及架构文档、需求文档和本开发总表（docs/EcomCraft 开发总表.xlsx）的位置。保持在 60 行以内，不要重复 AGENTS.md 已有内容。
完成后：运行相关测试，执行 git diff --check，按 ecomcraft-docs-sync 技能同步文档，并列出改动文件和你做过的验证。</t>
        </is>
      </c>
      <c r="L5" s="46" t="inlineStr">
        <is>
          <t>已完成</t>
        </is>
      </c>
      <c r="M5" s="38" t="inlineStr">
        <is>
          <t>2026-10-27</t>
        </is>
      </c>
      <c r="N5" s="44" t="n"/>
    </row>
    <row r="6" ht="283" customHeight="1" s="23">
      <c r="A6" s="47" t="n">
        <v>2</v>
      </c>
      <c r="B6" s="47" t="inlineStr">
        <is>
          <t>T33</t>
        </is>
      </c>
      <c r="C6" s="40" t="inlineStr">
        <is>
          <t>MVP-A：平台底座</t>
        </is>
      </c>
      <c r="D6" s="33" t="inlineStr">
        <is>
          <t>F28</t>
        </is>
      </c>
      <c r="E6" s="40" t="inlineStr">
        <is>
          <t>局域网多服务器实测（步骤 0–3）</t>
        </is>
      </c>
      <c r="F6" s="42" t="inlineStr">
        <is>
          <t>Studio/ExecutionServers.cs、WorkflowDiscovery.cs、WorkflowReview*.cs；需求文档第 9、10 节</t>
        </is>
      </c>
      <c r="G6" s="42" t="inlineStr">
        <is>
          <t>T00；N08</t>
        </is>
      </c>
      <c r="H6" s="47" t="inlineStr">
        <is>
          <t>M</t>
        </is>
      </c>
      <c r="I6" s="42" t="inlineStr">
        <is>
          <t>扩展编译通过；A 能登记 B 并显示在线；B 上保存的工作流 1 分钟内进入待审核；审核通过后能在 B 上生成并回传；V1–V3 结论写入需求文档中英文版</t>
        </is>
      </c>
      <c r="J6" s="40" t="inlineStr">
        <is>
          <t>两台电脑实测，逐条对照需求文档 R1–R3 验收标准</t>
        </is>
      </c>
      <c r="K6"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任务：验证局域网多服务器第一阶段步骤 1–3（代码已完成但尚未编译和实测）。按 ecomcraft-build-run 技能编译并启动；按需求文档 R1–R3 的验收标准逐条验证；把 V1–V3 的实测结论和发现的问题写回需求文档（中英文）第 9、10 节。发现缺陷时先列出问题和修复方案，我确认后再改。
完成后：运行相关测试，执行 git diff --check，按 ecomcraft-docs-sync 技能同步文档，并列出改动文件和你做过的验证。</t>
        </is>
      </c>
      <c r="L6" s="46" t="inlineStr">
        <is>
          <t>暂缓</t>
        </is>
      </c>
      <c r="M6" s="38" t="n"/>
      <c r="N6" s="44" t="inlineStr">
        <is>
          <t>静态审查完成。2026-10-28 决策 A10：单服务器先行，多机实测暂缓，等客户提出需求或 N08 环境就绪再启动（V1–V5 结论一并补）</t>
        </is>
      </c>
    </row>
    <row r="7" ht="329.5" customHeight="1" s="23">
      <c r="A7" s="47" t="n">
        <v>3</v>
      </c>
      <c r="B7" s="47" t="inlineStr">
        <is>
          <t>T34</t>
        </is>
      </c>
      <c r="C7" s="40" t="inlineStr">
        <is>
          <t>MVP-A：平台底座</t>
        </is>
      </c>
      <c r="D7" s="33" t="inlineStr">
        <is>
          <t>F29</t>
        </is>
      </c>
      <c r="E7" s="40" t="inlineStr">
        <is>
          <t>调用与自动调度（执行方抽象）</t>
        </is>
      </c>
      <c r="F7" s="42" t="inlineStr">
        <is>
          <t>Studio/ExecutionServers.cs、新增 Studio/Generation/、StudioApi.cs</t>
        </is>
      </c>
      <c r="G7" s="42" t="inlineStr">
        <is>
          <t>T33</t>
        </is>
      </c>
      <c r="H7" s="47" t="inlineStr">
        <is>
          <t>L</t>
        </is>
      </c>
      <c r="I7" s="42" t="inlineStr">
        <is>
          <t>按规则 1 选择排队最少且具备所需节点和模型的服务器；排队数计入他人直接提交到 ComfyUI 的任务；可限定服务器并在繁忙时提示；无可用服务器时说明原因；执行方抽象包含云端类型但不实现</t>
        </is>
      </c>
      <c r="J7" s="40" t="inlineStr">
        <is>
          <t>C# 回归测试覆盖选择逻辑；两台电脑实测</t>
        </is>
      </c>
      <c r="K7"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任务：实现需求文档第一阶段步骤 4（R4、R5、R10.1）。调度按统一的“执行方”抽象实现，类型包含本机 ComfyUI、局域网 ComfyUI、云端 ComfyUI、云端模型 API；后两类只保留类型，不实现、不发任何请求。规则 1：筛选具备全部节点和模型的在线执行方，选排队最少者，排队数按 R5.2 计算。支持“只在某台服务器执行”和繁忙提示（R5.4）。
请先进入计划模式给出设计方案（改哪些文件、数据结构、接口、风险），我确认后再实现。
完成后：运行相关测试，执行 git diff --check，按 ecomcraft-docs-sync 技能同步文档，并列出改动文件和你做过的验证。</t>
        </is>
      </c>
      <c r="L7" s="46" t="inlineStr">
        <is>
          <t>已完成</t>
        </is>
      </c>
      <c r="M7" s="38" t="inlineStr">
        <is>
          <t>2026-10-27</t>
        </is>
      </c>
      <c r="N7" s="44" t="inlineStr">
        <is>
          <t>原 T26（多机多显卡）已并入本任务</t>
        </is>
      </c>
    </row>
    <row r="8" ht="298.5" customHeight="1" s="23">
      <c r="A8" s="47" t="n">
        <v>4</v>
      </c>
      <c r="B8" s="47" t="inlineStr">
        <is>
          <t>T35</t>
        </is>
      </c>
      <c r="C8" s="40" t="inlineStr">
        <is>
          <t>MVP-A：平台底座</t>
        </is>
      </c>
      <c r="D8" s="33" t="inlineStr">
        <is>
          <t>F30</t>
        </is>
      </c>
      <c r="E8" s="40" t="inlineStr">
        <is>
          <t>队列、失败改派与画廊</t>
        </is>
      </c>
      <c r="F8" s="42" t="inlineStr">
        <is>
          <t>studio.js、index.html、StudioApi.cs</t>
        </is>
      </c>
      <c r="G8" s="42" t="inlineStr">
        <is>
          <t>T34</t>
        </is>
      </c>
      <c r="H8" s="47" t="inlineStr">
        <is>
          <t>M</t>
        </is>
      </c>
      <c r="I8" s="42" t="inlineStr">
        <is>
          <t>执行中掉线直接报失败并提供改派按钮；画廊显示工作流名、实际执行服务器和时间；队列页显示每台服务器状态</t>
        </is>
      </c>
      <c r="J8" s="40" t="inlineStr">
        <is>
          <t>实测：生成过程中关闭 B 的 ComfyUI</t>
        </is>
      </c>
      <c r="K8"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任务：完成需求文档步骤 5（R6、R7.1–R7.2、R8）。队列显示已部分完成，先核对现状再补齐：掉线报失败、“改派到其他服务器”按钮、画廊显示实际执行服务器。错误信息不得包含堆栈、地址、提示词或节点图。
请先进入计划模式给出设计方案（改哪些文件、数据结构、接口、风险），我确认后再实现。
完成后：运行相关测试，执行 git diff --check，按 ecomcraft-docs-sync 技能同步文档，并列出改动文件和你做过的验证。</t>
        </is>
      </c>
      <c r="L8" s="46" t="inlineStr">
        <is>
          <t>已完成</t>
        </is>
      </c>
      <c r="M8" s="38" t="inlineStr">
        <is>
          <t>2026-10-27</t>
        </is>
      </c>
      <c r="N8" s="44" t="n"/>
    </row>
    <row r="9" ht="298.5" customHeight="1" s="23">
      <c r="A9" s="47" t="n">
        <v>5</v>
      </c>
      <c r="B9" s="47" t="inlineStr">
        <is>
          <t>T36</t>
        </is>
      </c>
      <c r="C9" s="40" t="inlineStr">
        <is>
          <t>MVP-A：平台底座</t>
        </is>
      </c>
      <c r="D9" s="33" t="inlineStr">
        <is>
          <t>F31</t>
        </is>
      </c>
      <c r="E9" s="40" t="inlineStr">
        <is>
          <t>多人登录与局域网部署指南</t>
        </is>
      </c>
      <c r="F9" s="42" t="inlineStr">
        <is>
          <t>新增中英文部署文档；README.md、README.en.md、docs 索引</t>
        </is>
      </c>
      <c r="G9" s="42" t="inlineStr">
        <is>
          <t>T35</t>
        </is>
      </c>
      <c r="H9" s="47" t="inlineStr">
        <is>
          <t>M</t>
        </is>
      </c>
      <c r="I9" s="42" t="inlineStr">
        <is>
          <t>部署文档说明账号登录、MaxQueued、防火墙、共享存储可见性和局域网 HTTPS 限制；中英文一致</t>
        </is>
      </c>
      <c r="J9" s="40" t="inlineStr">
        <is>
          <t>按文档在一台新电脑上从零部署一遍</t>
        </is>
      </c>
      <c r="K9"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任务：完成需求文档步骤 6（R9.1–R9.2 与安全要求）。编写局域网部署指南（中英文两份）：开启账号登录、按角色配置 MaxQueued、局域网服务器防火墙只对平台服务器开放 ComfyUI 端口、作品放在共享存储时的可见性（D9）、用 http 局域网地址访问时浏览器会禁用哪些功能。先检查 SwarmUI 现有的 Sharing Your Swarm 等文档能否引用，避免重复。
完成后：运行相关测试，执行 git diff --check，按 ecomcraft-docs-sync 技能同步文档，并列出改动文件和你做过的验证。</t>
        </is>
      </c>
      <c r="L9" s="46" t="inlineStr">
        <is>
          <t>已完成</t>
        </is>
      </c>
      <c r="M9" s="38" t="inlineStr">
        <is>
          <t>2026-10-27</t>
        </is>
      </c>
      <c r="N9" s="44" t="n"/>
    </row>
    <row r="10" ht="345" customHeight="1" s="23">
      <c r="A10" s="47" t="n">
        <v>6</v>
      </c>
      <c r="B10" s="47" t="inlineStr">
        <is>
          <t>T37</t>
        </is>
      </c>
      <c r="C10" s="40" t="inlineStr">
        <is>
          <t>MVP-A：平台底座</t>
        </is>
      </c>
      <c r="D10" s="33" t="inlineStr">
        <is>
          <t>F32</t>
        </is>
      </c>
      <c r="E10" s="40" t="inlineStr">
        <is>
          <t>作品存储位置（本机 / NAS / 共享文件夹）</t>
        </is>
      </c>
      <c r="F10" s="42" t="inlineStr">
        <is>
          <t>新增 Studio/Storage/；管理设置界面</t>
        </is>
      </c>
      <c r="G10" s="42" t="inlineStr">
        <is>
          <t>T35；N08</t>
        </is>
      </c>
      <c r="H10" s="47" t="inlineStr">
        <is>
          <t>L</t>
        </is>
      </c>
      <c r="I10" s="42" t="inlineStr">
        <is>
          <t>需求文档 R11 的验收标准全部通过</t>
        </is>
      </c>
      <c r="J10" s="40" t="inlineStr">
        <is>
          <t>C# 测试路径校验与同步队列；实测：生成过程中断开 NAS</t>
        </is>
      </c>
      <c r="K10"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任务：实现需求文档步骤 7（R11 作品存储）。作品库位置和导出位置由管理员设置（本机目录、UNC 路径、系统挂载目录），保存时检测可写、空间和速度；生成结果先写本机再后台同步，失败排队重试，画廊显示“待同步”；作品索引和缩略图留在本机；修改位置后旧作品仍可浏览，并提供可选迁移（复制、校验、再删除，可取消）。系统数据固定在 Data/。客户端不得提交路径。先调查 SwarmUI 现有 OutputPath 和画廊读取逻辑，尽量复用，不改核心。
请先进入计划模式给出设计方案（改哪些文件、数据结构、接口、风险），我确认后再实现。
完成后：运行相关测试，执行 git diff --check，按 ecomcraft-docs-sync 技能同步文档，并列出改动文件和你做过的验证。</t>
        </is>
      </c>
      <c r="L10" s="46" t="inlineStr">
        <is>
          <t>已完成</t>
        </is>
      </c>
      <c r="M10" s="38" t="inlineStr">
        <is>
          <t>2026-10-28</t>
        </is>
      </c>
      <c r="N10" s="44" t="n"/>
    </row>
    <row r="11" ht="298.5" customHeight="1" s="23">
      <c r="A11" s="47" t="n">
        <v>7</v>
      </c>
      <c r="B11" s="47" t="inlineStr">
        <is>
          <t>T22</t>
        </is>
      </c>
      <c r="C11" s="40" t="inlineStr">
        <is>
          <t>MVP-A：平台底座</t>
        </is>
      </c>
      <c r="D11" s="33" t="inlineStr">
        <is>
          <t>F24</t>
        </is>
      </c>
      <c r="E11" s="40" t="inlineStr">
        <is>
          <t>工作台中英文国际化</t>
        </is>
      </c>
      <c r="F11" s="42" t="inlineStr">
        <is>
          <t>Studio/index.html、studio.js；新增 i18n.js、languages/</t>
        </is>
      </c>
      <c r="G11" s="42" t="inlineStr">
        <is>
          <t>T00</t>
        </is>
      </c>
      <c r="H11" s="47" t="inlineStr">
        <is>
          <t>L</t>
        </is>
      </c>
      <c r="I11" s="42" t="inlineStr">
        <is>
          <t>工作台所有界面文字可在中文和英文间切换；新增文字必须走翻译表；英文模式下无残留中文</t>
        </is>
      </c>
      <c r="J11" s="40" t="inlineStr">
        <is>
          <t>node 测试：英文模式下界面不残留中文字符串</t>
        </is>
      </c>
      <c r="K11"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 EcomCraft 工作台建立中英文国际化。先调查 SwarmUI 现有 languages/ 与 translator.js 能否复用；建立翻译表和加载机制，把 index.html 与 studio.js 中现有中文文案迁入并补齐英文；语言选择记在浏览器（localStorage 读写放在 try/catch 中）。加一个测试：英文模式下界面不残留中文。在 ecomcraft-studio-ui 技能中补充“新文字必须走翻译表”的约定。
请先进入计划模式给出设计方案（改哪些文件、数据结构、接口、风险），我确认后再实现。
完成后：运行相关测试，执行 git diff --check，按 ecomcraft-docs-sync 技能同步文档，并列出改动文件和你做过的验证。</t>
        </is>
      </c>
      <c r="L11" s="46" t="inlineStr">
        <is>
          <t>已完成</t>
        </is>
      </c>
      <c r="M11" s="38" t="inlineStr">
        <is>
          <t>2026-10-28</t>
        </is>
      </c>
      <c r="N11" s="44" t="inlineStr">
        <is>
          <t>尽早完成，之后的新功能直接双语开发</t>
        </is>
      </c>
    </row>
    <row r="12" ht="298.5" customHeight="1" s="23">
      <c r="A12" s="47" t="n">
        <v>8</v>
      </c>
      <c r="B12" s="47" t="inlineStr">
        <is>
          <t>T01</t>
        </is>
      </c>
      <c r="C12" s="40" t="inlineStr">
        <is>
          <t>MVP-B：电商出图</t>
        </is>
      </c>
      <c r="D12" s="33" t="inlineStr">
        <is>
          <t>F01</t>
        </is>
      </c>
      <c r="E12" s="40" t="inlineStr">
        <is>
          <t>模板数据结构（基于审核快照）</t>
        </is>
      </c>
      <c r="F12" s="42" t="inlineStr">
        <is>
          <t>新增 Studio/Templates/；WorkflowReview.cs；EcomCraft.cs</t>
        </is>
      </c>
      <c r="G12" s="42" t="inlineStr">
        <is>
          <t>T34</t>
        </is>
      </c>
      <c r="H12" s="47" t="inlineStr">
        <is>
          <t>M</t>
        </is>
      </c>
      <c r="I12" s="42" t="inlineStr">
        <is>
          <t>模板只能引用已发布快照及其白名单参数；包含中英文名称、示例图、适用平台、所属套图，并预留 categories、brand_kit、execution_plans 字段；非法模板被拒绝并记录原因</t>
        </is>
      </c>
      <c r="J12" s="40" t="inlineStr">
        <is>
          <t>C# 回归测试覆盖合法和非法模板</t>
        </is>
      </c>
      <c r="K12"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任务：设计电商场景模板。模板 = 已发布的审核快照（WorkflowReview）+ 电商信息：中英文名称与说明、示例图、适用平台、所属套图、参数预设和提示词片段；预留 categories（品类预设）、brand_kit（品牌资料包）和 execution_plans（多个执行方案，本期只有本地方案）字段。不要另建一套与快照重复的工作流结构。内置模板与管理员自定义模板分开存放。补充一个无需 GPU 的 C# 回归测试。
请先进入计划模式给出设计方案（改哪些文件、数据结构、接口、风险），我确认后再实现。
完成后：运行相关测试，执行 git diff --check，按 ecomcraft-docs-sync 技能同步文档，并列出改动文件和你做过的验证。</t>
        </is>
      </c>
      <c r="L12" s="46" t="inlineStr">
        <is>
          <t>已完成</t>
        </is>
      </c>
      <c r="M12" s="38" t="inlineStr">
        <is>
          <t>2026-10-28</t>
        </is>
      </c>
      <c r="N12" s="44" t="n"/>
    </row>
    <row r="13" ht="298.5" customHeight="1" s="23">
      <c r="A13" s="47" t="n">
        <v>9</v>
      </c>
      <c r="B13" s="47" t="inlineStr">
        <is>
          <t>T02</t>
        </is>
      </c>
      <c r="C13" s="40" t="inlineStr">
        <is>
          <t>MVP-B：电商出图</t>
        </is>
      </c>
      <c r="D13" s="33" t="inlineStr">
        <is>
          <t>F01</t>
        </is>
      </c>
      <c r="E13" s="40" t="inlineStr">
        <is>
          <t>模板目录 API 与按模板生成</t>
        </is>
      </c>
      <c r="F13" s="42" t="inlineStr">
        <is>
          <t>StudioApi.cs（新增 EcomCraftStudioTemplates，EcomCraftStudioGenerate 支持 template_id）；EcomCraft.cs</t>
        </is>
      </c>
      <c r="G13" s="42" t="inlineStr">
        <is>
          <t>T01</t>
        </is>
      </c>
      <c r="H13" s="47" t="inlineStr">
        <is>
          <t>M</t>
        </is>
      </c>
      <c r="I13" s="42" t="inlineStr">
        <is>
          <t>目录接口只返回模板 ID、名称、说明、示例图和可调字段；按 template_id 生成时用户输入仍经白名单校验；缺少依赖的模板被隐藏并给出原因</t>
        </is>
      </c>
      <c r="J13" s="40" t="inlineStr">
        <is>
          <t>C# 回归测试 + 本机启动后调用接口</t>
        </is>
      </c>
      <c r="K13"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任务：新增 API EcomCraftStudioTemplates（最小披露，按当前语言返回名称和说明），并让 EcomCraftStudioGenerate 支持 template_id：服务端把模板解析成快照与预设参数，再合并用户允许修改的字段，仍走现有白名单校验。没有执行服务器能运行该模板时，参照 WorkflowCatalogFilter 隐藏并说明原因。同步更新 README 中的接口列表和工作流文档。
请先进入计划模式给出设计方案（改哪些文件、数据结构、接口、风险），我确认后再实现。
完成后：运行相关测试，执行 git diff --check，按 ecomcraft-docs-sync 技能同步文档，并列出改动文件和你做过的验证。</t>
        </is>
      </c>
      <c r="L13" s="46" t="inlineStr">
        <is>
          <t>已完成</t>
        </is>
      </c>
      <c r="M13" s="38" t="inlineStr">
        <is>
          <t>2026-10-28</t>
        </is>
      </c>
      <c r="N13" s="44" t="n"/>
    </row>
    <row r="14" ht="283" customHeight="1" s="23">
      <c r="A14" s="47" t="n">
        <v>10</v>
      </c>
      <c r="B14" s="47" t="inlineStr">
        <is>
          <t>T38</t>
        </is>
      </c>
      <c r="C14" s="40" t="inlineStr">
        <is>
          <t>MVP-B：电商出图</t>
        </is>
      </c>
      <c r="D14" s="33" t="inlineStr">
        <is>
          <t>F37</t>
        </is>
      </c>
      <c r="E14" s="40" t="inlineStr">
        <is>
          <t>提示词服务（一句话描述 → 提示词）</t>
        </is>
      </c>
      <c r="F14" s="42" t="inlineStr">
        <is>
          <t>新增 Studio/Prompting/；MagicPrompt</t>
        </is>
      </c>
      <c r="G14" s="42" t="inlineStr">
        <is>
          <t>T02</t>
        </is>
      </c>
      <c r="H14" s="47" t="inlineStr">
        <is>
          <t>M</t>
        </is>
      </c>
      <c r="I14" s="42" t="inlineStr">
        <is>
          <t>一句话描述（中英文均可）+ 风格 → 英文提示词；大模型输出只填入提示词文本字段；大模型不可用时退回模板默认提示词并提示；看图描述默认关闭，只有管理员可开启</t>
        </is>
      </c>
      <c r="J14" s="40" t="inlineStr">
        <is>
          <t>C# 测试输出只进入提示词字段；用中文和英文描述各手动试一次</t>
        </is>
      </c>
      <c r="K14"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任务：把 MagicPrompt 封装为提示词服务。输入：模板的提示词片段、用户选的风格、可选的一句话描述（中文或英文）；输出：英文提示词。大模型输出只能作为提示词文本，不得影响工作流、参数或执行服务器。设置超时；大模型不可用或超时时退回模板默认提示词并给出白话提示。把商品图发给在线视觉模型的功能默认关闭，只有管理员能开启，并在设置中明确说明图片会发送给哪家服务商。
请先进入计划模式给出设计方案（改哪些文件、数据结构、接口、风险），我确认后再实现。
完成后：运行相关测试，执行 git diff --check，按 ecomcraft-docs-sync 技能同步文档，并列出改动文件和你做过的验证。</t>
        </is>
      </c>
      <c r="L14" s="46" t="inlineStr">
        <is>
          <t>已完成</t>
        </is>
      </c>
      <c r="M14" s="38" t="inlineStr">
        <is>
          <t>2026-10-28</t>
        </is>
      </c>
      <c r="N14" s="44" t="n"/>
    </row>
    <row r="15" ht="283" customHeight="1" s="23">
      <c r="A15" s="47" t="n">
        <v>11</v>
      </c>
      <c r="B15" s="47" t="inlineStr">
        <is>
          <t>T13</t>
        </is>
      </c>
      <c r="C15" s="40" t="inlineStr">
        <is>
          <t>MVP-B：电商出图</t>
        </is>
      </c>
      <c r="D15" s="33" t="inlineStr">
        <is>
          <t>F07</t>
        </is>
      </c>
      <c r="E15" s="40" t="inlineStr">
        <is>
          <t>三步式简易模式（默认界面）</t>
        </is>
      </c>
      <c r="F15" s="42" t="inlineStr">
        <is>
          <t>Studio/index.html、studio.js、studio.css；新增 simple.js</t>
        </is>
      </c>
      <c r="G15" s="42" t="inlineStr">
        <is>
          <t>T02；T22；T38</t>
        </is>
      </c>
      <c r="H15" s="47" t="inlineStr">
        <is>
          <t>L</t>
        </is>
      </c>
      <c r="I15" s="42" t="inlineStr">
        <is>
          <t>默认界面为三步：上传或选择商品 → 选平台和风格 → 挑图下载；没有提示词框；风格为带示例图的选项；专业参数只对管理员可见；手机宽度可用</t>
        </is>
      </c>
      <c r="J15" s="40" t="inlineStr">
        <is>
          <t>node 测试两种模式下的控件可见性；请一位不懂设计的同事试用</t>
        </is>
      </c>
      <c r="K15"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任务：实现三步式简易模式，作为普通用户的默认界面：第 1 步上传商品图；第 2 步选平台、选风格（带示例图的卡片）、可选一句话描述；第 3 步查看候选图、挑选、下载。采样器、LoRA、步数等专业参数只在管理员的专业模式中出现。所有文字走翻译表；遵守现有 CSP（不引入外部脚本、不用内联脚本）；手机宽度可用。参照现有前端测试的 vm 方式加 node 测试。
请先进入计划模式给出设计方案（改哪些文件、数据结构、接口、风险），我确认后再实现。
完成后：运行相关测试，执行 git diff --check，按 ecomcraft-docs-sync 技能同步文档，并列出改动文件和你做过的验证。</t>
        </is>
      </c>
      <c r="L15" s="46" t="inlineStr">
        <is>
          <t>已完成</t>
        </is>
      </c>
      <c r="M15" s="38" t="inlineStr">
        <is>
          <t>2026-10-28</t>
        </is>
      </c>
      <c r="N15" s="44" t="inlineStr">
        <is>
          <t>原 T03（模板选择界面）已并入本任务</t>
        </is>
      </c>
    </row>
    <row r="16" ht="329.5" customHeight="1" s="23">
      <c r="A16" s="47" t="n">
        <v>12</v>
      </c>
      <c r="B16" s="47" t="inlineStr">
        <is>
          <t>T07</t>
        </is>
      </c>
      <c r="C16" s="40" t="inlineStr">
        <is>
          <t>MVP-B：电商出图</t>
        </is>
      </c>
      <c r="D16" s="33" t="inlineStr">
        <is>
          <t>F02</t>
        </is>
      </c>
      <c r="E16" s="40" t="inlineStr">
        <is>
          <t>商品保真：原商品像素合成回生成图</t>
        </is>
      </c>
      <c r="F16" s="42" t="inlineStr">
        <is>
          <t>新增 Studio/PostProcess/；模板 preserve_product 标记；工作流需输出商品蒙版</t>
        </is>
      </c>
      <c r="G16" s="42" t="inlineStr">
        <is>
          <t>T02；N02</t>
        </is>
      </c>
      <c r="H16" s="47" t="inlineStr">
        <is>
          <t>L</t>
        </is>
      </c>
      <c r="I16" s="42" t="inlineStr">
        <is>
          <t>开启 preserve_product 的模板，最终图中商品区域与原图像素一致（边缘羽化除外）；关闭时行为不变</t>
        </is>
      </c>
      <c r="J16" s="40" t="inlineStr">
        <is>
          <t>C# 测试用合成图验证合成逻辑；用测试台人工比对</t>
        </is>
      </c>
      <c r="K16"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任务：为模板增加 preserve_product 选项。约定工作流额外输出商品蒙版。服务端在生成完成后用蒙版把原商品像素合成回生成图（边缘少量羽化），避免 Logo、文字、形状被改动。按“本地预处理 → 生成 → 本地后处理”三段设计（需求文档 R10.3），保证以后换成云端执行方时合成仍在本地。先调查 SwarmUI 现有的图片处理库与生成结果后处理挂钩点。
请先进入计划模式给出设计方案（改哪些文件、数据结构、接口、风险），我确认后再实现。
完成后：运行相关测试，执行 git diff --check，按 ecomcraft-docs-sync 技能同步文档，并列出改动文件和你做过的验证。</t>
        </is>
      </c>
      <c r="L16" s="46" t="inlineStr">
        <is>
          <t>已完成</t>
        </is>
      </c>
      <c r="M16" s="38" t="inlineStr">
        <is>
          <t>2026-10-28</t>
        </is>
      </c>
      <c r="N16" s="44" t="n"/>
    </row>
    <row r="17" ht="252" customHeight="1" s="23">
      <c r="A17" s="47" t="n">
        <v>13</v>
      </c>
      <c r="B17" s="47" t="inlineStr">
        <is>
          <t>T39</t>
        </is>
      </c>
      <c r="C17" s="40" t="inlineStr">
        <is>
          <t>MVP-B：电商出图</t>
        </is>
      </c>
      <c r="D17" s="33" t="inlineStr">
        <is>
          <t>F35</t>
        </is>
      </c>
      <c r="E17" s="40" t="inlineStr">
        <is>
          <t>抠图确认与商品位置调整</t>
        </is>
      </c>
      <c r="F17" s="42" t="inlineStr">
        <is>
          <t>Studio/PostProcess/；simple.js</t>
        </is>
      </c>
      <c r="G17" s="42" t="inlineStr">
        <is>
          <t>T07；T13</t>
        </is>
      </c>
      <c r="H17" s="47" t="inlineStr">
        <is>
          <t>M</t>
        </is>
      </c>
      <c r="I17" s="42" t="inlineStr">
        <is>
          <t>生成前显示抠图结果，用户可确认或重新上传；可拖动和缩放商品在画面中的位置，合成按调整后的位置进行</t>
        </is>
      </c>
      <c r="J17" s="40" t="inlineStr">
        <is>
          <t>node 测试位置换算；在电脑和手机上手动调整</t>
        </is>
      </c>
      <c r="K17"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任务：在简易模式第 1 步后加入抠图确认：显示抠图结果（先调查执行服务器上可用的抠图节点或模型），用户确认或重新上传；允许拖动和缩放商品在画布中的位置与大小，最终合成按这个位置进行。客户端只提交位置和缩放数值，由服务端校验范围。
请先进入计划模式给出设计方案（改哪些文件、数据结构、接口、风险），我确认后再实现。
完成后：运行相关测试，执行 git diff --check，按 ecomcraft-docs-sync 技能同步文档，并列出改动文件和你做过的验证。</t>
        </is>
      </c>
      <c r="L17" s="46" t="inlineStr">
        <is>
          <t>已完成</t>
        </is>
      </c>
      <c r="M17" s="38" t="inlineStr">
        <is>
          <t>2026-10-28</t>
        </is>
      </c>
      <c r="N17" s="44" t="n"/>
    </row>
    <row r="18" ht="221" customHeight="1" s="23">
      <c r="A18" s="47" t="n">
        <v>14</v>
      </c>
      <c r="B18" s="47" t="inlineStr">
        <is>
          <t>T04</t>
        </is>
      </c>
      <c r="C18" s="40" t="inlineStr">
        <is>
          <t>MVP-B：电商出图</t>
        </is>
      </c>
      <c r="D18" s="33" t="inlineStr">
        <is>
          <t>F01</t>
        </is>
      </c>
      <c r="E18" s="40" t="inlineStr">
        <is>
          <t>内置 4 个电商场景模板</t>
        </is>
      </c>
      <c r="F18" s="42" t="inlineStr">
        <is>
          <t>Studio/Templates/ 内置模板；中英文文档</t>
        </is>
      </c>
      <c r="G18" s="42" t="inlineStr">
        <is>
          <t>T02；N02；N09</t>
        </is>
      </c>
      <c r="H18" s="47" t="inlineStr">
        <is>
          <t>M</t>
        </is>
      </c>
      <c r="I18" s="42" t="inlineStr">
        <is>
          <t>4 个模板通过校验；对应工作流未安装时显示“缺少工作流”而不是报错；名称和说明中英文齐全</t>
        </is>
      </c>
      <c r="J18" s="40" t="inlineStr">
        <is>
          <t>C# 回归测试加载全部内置模板</t>
        </is>
      </c>
      <c r="K18"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任务：新增 4 个内置模板定义：白底主图、场景图、细节图、模特或手持图（卖点图和视频留到后续）。工作流由外部专家制作，暂用约定的工作流名称占位；缺少工作流时隐藏并显示原因。为每个模板准备示例图位置。中英文文档同步说明模板用途。
完成后：运行相关测试，执行 git diff --check，按 ecomcraft-docs-sync 技能同步文档，并列出改动文件和你做过的验证。</t>
        </is>
      </c>
      <c r="L18" s="46" t="inlineStr">
        <is>
          <t>已完成</t>
        </is>
      </c>
      <c r="M18" s="38" t="inlineStr">
        <is>
          <t>2026-10-28</t>
        </is>
      </c>
      <c r="N18" s="44" t="inlineStr">
        <is>
          <t>原“卖点图”与“商品展示视频”移到后续（T50、T51）</t>
        </is>
      </c>
    </row>
    <row r="19" ht="298.5" customHeight="1" s="23">
      <c r="A19" s="47" t="n">
        <v>15</v>
      </c>
      <c r="B19" s="47" t="inlineStr">
        <is>
          <t>T06</t>
        </is>
      </c>
      <c r="C19" s="40" t="inlineStr">
        <is>
          <t>MVP-B：电商出图</t>
        </is>
      </c>
      <c r="D19" s="33" t="inlineStr">
        <is>
          <t>F20</t>
        </is>
      </c>
      <c r="E19" s="40" t="inlineStr">
        <is>
          <t>模板测试台（批量跑分工具）</t>
        </is>
      </c>
      <c r="F19" s="42" t="inlineStr">
        <is>
          <t>新增 src/Extensions/EcomCraft/Tools/template-bench（Node 脚本）；中英文说明</t>
        </is>
      </c>
      <c r="G19" s="42" t="inlineStr">
        <is>
          <t>T04；N03</t>
        </is>
      </c>
      <c r="H19" s="47" t="inlineStr">
        <is>
          <t>M</t>
        </is>
      </c>
      <c r="I19" s="42" t="inlineStr">
        <is>
          <t>指定测试商品目录和模板列表后批量生成，输出结果图与带人工评分列的 CSV / HTML 报告；可与上次报告对比；不写入 Data/、Models/</t>
        </is>
      </c>
      <c r="J19" s="40" t="inlineStr">
        <is>
          <t>对本机服务运行一次小样本（2 个商品 × 1 个模板）</t>
        </is>
      </c>
      <c r="K19"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任务：写一个命令行模板测试台。输入：测试商品图目录、模板 ID 列表、平台服务地址。它依次调用按模板生成，把结果保存到用户指定的输出目录，并生成 CSV 和简单的 HTML 并排对比页，包含“合格 / 不合格 / 问题说明”空白列供人工打分；再次运行时可与上次报告对比。不得修改 Data/、Models/ 的内容。注意 .gitignore 忽略了 Tests/、tests/ 和 *-plan.md，命名时避开。
请先进入计划模式给出设计方案（改哪些文件、数据结构、接口、风险），我确认后再实现。
完成后：运行相关测试，执行 git diff --check，按 ecomcraft-docs-sync 技能同步文档，并列出改动文件和你做过的验证。</t>
        </is>
      </c>
      <c r="L19" s="46" t="inlineStr">
        <is>
          <t>已完成</t>
        </is>
      </c>
      <c r="M19" s="38" t="inlineStr">
        <is>
          <t>2026-10-28</t>
        </is>
      </c>
      <c r="N19" s="44" t="inlineStr">
        <is>
          <t>本机服务实测 2 商品 × 1 模板：结果、CSV/HTML 报告与 --compare 对比通过</t>
        </is>
      </c>
    </row>
    <row r="20" ht="329.5" customHeight="1" s="23">
      <c r="A20" s="47" t="n">
        <v>16</v>
      </c>
      <c r="B20" s="47" t="inlineStr">
        <is>
          <t>T08</t>
        </is>
      </c>
      <c r="C20" s="40" t="inlineStr">
        <is>
          <t>MVP-B：电商出图</t>
        </is>
      </c>
      <c r="D20" s="33" t="inlineStr">
        <is>
          <t>F03</t>
        </is>
      </c>
      <c r="E20" s="40" t="inlineStr">
        <is>
          <t>一键套图与批量（多机并行、按人限流）</t>
        </is>
      </c>
      <c r="F20" s="42" t="inlineStr">
        <is>
          <t>新增 Studio/Generation/ 编排；simple.js</t>
        </is>
      </c>
      <c r="G20" s="42" t="inlineStr">
        <is>
          <t>T13；T34</t>
        </is>
      </c>
      <c r="H20" s="47" t="inlineStr">
        <is>
          <t>L</t>
        </is>
      </c>
      <c r="I20" s="42" t="inlineStr">
        <is>
          <t>选平台后一张商品图出整套图；多张商品排队；任务由调度器分派到多台服务器并行；每人同时占用的任务数受限；单张失败可单独重试，可整体取消</t>
        </is>
      </c>
      <c r="J20" s="40" t="inlineStr">
        <is>
          <t>C# 测试套图展开与限流；node 测试队列状态；两台电脑并行实测</t>
        </is>
      </c>
      <c r="K20"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任务：实现一键套图与批量（替代原先“并发为 1”的批量设计）。套图 = 平台对应的一组模板（如亚马逊：白底 + 场景 + 细节 + 模特），每种 N 张候选。服务端把套图和批量展开成任务，交给调度器多台并行；增加按人限流，避免一个人占满所有显卡（先在需求文档 R5 / R9 中补充规则，中英文同步）。前端显示每张图的状态，失败项可单独重试，可整体取消。
请先进入计划模式给出设计方案（改哪些文件、数据结构、接口、风险），我确认后再实现。
完成后：运行相关测试，执行 git diff --check，按 ecomcraft-docs-sync 技能同步文档，并列出改动文件和你做过的验证。</t>
        </is>
      </c>
      <c r="L20" s="46" t="inlineStr">
        <is>
          <t>已完成</t>
        </is>
      </c>
      <c r="M20" s="38" t="inlineStr">
        <is>
          <t>2026-10-28</t>
        </is>
      </c>
      <c r="N20" s="44" t="inlineStr">
        <is>
          <t>会修改需求文档规则，务必审阅</t>
        </is>
      </c>
    </row>
    <row r="21" ht="252" customHeight="1" s="23">
      <c r="A21" s="47" t="n">
        <v>17</v>
      </c>
      <c r="B21" s="47" t="inlineStr">
        <is>
          <t>T40</t>
        </is>
      </c>
      <c r="C21" s="40" t="inlineStr">
        <is>
          <t>MVP-B：电商出图</t>
        </is>
      </c>
      <c r="D21" s="33" t="inlineStr">
        <is>
          <t>F36</t>
        </is>
      </c>
      <c r="E21" s="40" t="inlineStr">
        <is>
          <t>商品库（简版）</t>
        </is>
      </c>
      <c r="F21" s="42" t="inlineStr">
        <is>
          <t>新增 Studio/Products/；simple.js</t>
        </is>
      </c>
      <c r="G21" s="42" t="inlineStr">
        <is>
          <t>T39；T37</t>
        </is>
      </c>
      <c r="H21" s="47" t="inlineStr">
        <is>
          <t>M</t>
        </is>
      </c>
      <c r="I21" s="42" t="inlineStr">
        <is>
          <t>上传的商品自动入库，保存原图和抠图结果；再次出图时可直接选择；平台内按用户隔离；可重命名和删除</t>
        </is>
      </c>
      <c r="J21" s="40" t="inlineStr">
        <is>
          <t>C# 测试用户隔离与删除</t>
        </is>
      </c>
      <c r="K21"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简版商品库：商品图上传后保存原图、抠图结果和确认过的位置，平台内按用户隔离，用户可重命名和删除。出图时可从商品库选择，跳过上传和抠图。商品文件存放在作品库位置（R11），索引放在本机 Data/。客户端只提交商品 ID。
请先进入计划模式给出设计方案（改哪些文件、数据结构、接口、风险），我确认后再实现。
完成后：运行相关测试，执行 git diff --check，按 ecomcraft-docs-sync 技能同步文档，并列出改动文件和你做过的验证。</t>
        </is>
      </c>
      <c r="L21" s="46" t="inlineStr">
        <is>
          <t>已完成</t>
        </is>
      </c>
      <c r="M21" s="38" t="inlineStr">
        <is>
          <t>2026-10-28</t>
        </is>
      </c>
      <c r="N21" s="44" t="n"/>
    </row>
    <row r="22" ht="314" customHeight="1" s="23">
      <c r="A22" s="47" t="n">
        <v>18</v>
      </c>
      <c r="B22" s="47" t="inlineStr">
        <is>
          <t>T11</t>
        </is>
      </c>
      <c r="C22" s="40" t="inlineStr">
        <is>
          <t>MVP-B：电商出图</t>
        </is>
      </c>
      <c r="D22" s="33" t="inlineStr">
        <is>
          <t>F05</t>
        </is>
      </c>
      <c r="E22" s="40" t="inlineStr">
        <is>
          <t>平台导出（国内外预设、zip 或共享文件夹）</t>
        </is>
      </c>
      <c r="F22" s="42" t="inlineStr">
        <is>
          <t>新增 Studio/Export/；平台预设配置文件；导出面板</t>
        </is>
      </c>
      <c r="G22" s="42" t="inlineStr">
        <is>
          <t>T35；T37；N06</t>
        </is>
      </c>
      <c r="H22" s="47" t="inlineStr">
        <is>
          <t>L</t>
        </is>
      </c>
      <c r="I22" s="42" t="inlineStr">
        <is>
          <t>选择平台后自动按预设缩放和补边；按商品分文件夹打包 zip，或导出到共享文件夹；预设包含国内外平台和中英文名称，可在配置中修改</t>
        </is>
      </c>
      <c r="J22" s="40" t="inlineStr">
        <is>
          <t>C# 测试尺寸与补边颜色（如纯白 RGB 255,255,255）</t>
        </is>
      </c>
      <c r="K22"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任务：实现平台导出。平台预设放在可编辑的配置中，同时包含国内平台（淘宝 / 天猫、京东、拼多多、抖音等）和海外平台（亚马逊、Shopify、TikTok Shop 等）；先列出你打算使用的尺寸和规则并注明来源，让我确认。服务端按预设缩放、补边，按商品分文件夹打包 zip 下载，或写入管理员设置的导出位置（需求文档 R11.8）。
请先进入计划模式给出设计方案（改哪些文件、数据结构、接口、风险），我确认后再实现。
完成后：运行相关测试，执行 git diff --check，按 ecomcraft-docs-sync 技能同步文档，并列出改动文件和你做过的验证。</t>
        </is>
      </c>
      <c r="L22" s="46" t="inlineStr">
        <is>
          <t>已完成</t>
        </is>
      </c>
      <c r="M22" s="38" t="inlineStr">
        <is>
          <t>2026-10-28</t>
        </is>
      </c>
      <c r="N22" s="44" t="n"/>
    </row>
    <row r="23" ht="283" customHeight="1" s="23">
      <c r="A23" s="47" t="n">
        <v>19</v>
      </c>
      <c r="B23" s="47" t="inlineStr">
        <is>
          <t>T19</t>
        </is>
      </c>
      <c r="C23" s="40" t="inlineStr">
        <is>
          <t>MVP-B：电商出图</t>
        </is>
      </c>
      <c r="D23" s="33" t="inlineStr">
        <is>
          <t>F22</t>
        </is>
      </c>
      <c r="E23" s="40" t="inlineStr">
        <is>
          <t>合规：亚马逊主图模式与 AI 元数据</t>
        </is>
      </c>
      <c r="F23" s="42" t="inlineStr">
        <is>
          <t>内置模板分支；Studio/Export/</t>
        </is>
      </c>
      <c r="G23" s="42" t="inlineStr">
        <is>
          <t>T04；T11；N06</t>
        </is>
      </c>
      <c r="H23" s="47" t="inlineStr">
        <is>
          <t>M</t>
        </is>
      </c>
      <c r="I23" s="42" t="inlineStr">
        <is>
          <t>亚马逊白底主图只抠图、居中、放到纯白背景，不调用生成模型；导出时检查背景纯白；AI 生成的图片导出时写入 AI 生成元数据</t>
        </is>
      </c>
      <c r="J23" s="40" t="inlineStr">
        <is>
          <t>C# 测试背景像素检查与元数据写入</t>
        </is>
      </c>
      <c r="K23"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任务：1）白底主图模板在平台为亚马逊时走“纯抠图”分支：只抠图、居中、放到纯白（RGB 255,255,255）背景，不调用任何生成模型；导出时检查背景是否纯白并提示。2）导出时为 AI 生成的图片写入标明 AI 生成的元数据。先列出打算写入的元数据字段及依据让我确认（开发前先完成 N06 核对最新规则）。可见 AI 标识留到后续（T20）。
请先进入计划模式给出设计方案（改哪些文件、数据结构、接口、风险），我确认后再实现。
完成后：运行相关测试，执行 git diff --check，按 ecomcraft-docs-sync 技能同步文档，并列出改动文件和你做过的验证。</t>
        </is>
      </c>
      <c r="L23" s="46" t="inlineStr">
        <is>
          <t>已完成</t>
        </is>
      </c>
      <c r="M23" s="38" t="inlineStr">
        <is>
          <t>2026-10-28</t>
        </is>
      </c>
      <c r="N23" s="44" t="n"/>
    </row>
    <row r="24" ht="283" customHeight="1" s="23">
      <c r="A24" s="47" t="n">
        <v>20</v>
      </c>
      <c r="B24" s="47" t="inlineStr">
        <is>
          <t>T14</t>
        </is>
      </c>
      <c r="C24" s="40" t="inlineStr">
        <is>
          <t>MVP-B：电商出图</t>
        </is>
      </c>
      <c r="D24" s="33" t="inlineStr">
        <is>
          <t>F08</t>
        </is>
      </c>
      <c r="E24" s="40" t="inlineStr">
        <is>
          <t>模型清单与商用许可标注</t>
        </is>
      </c>
      <c r="F24" s="42" t="inlineStr">
        <is>
          <t>模板增加 requirements 与 license 字段；管理视图</t>
        </is>
      </c>
      <c r="G24" s="42" t="inlineStr">
        <is>
          <t>T02；N01</t>
        </is>
      </c>
      <c r="H24" s="47" t="inlineStr">
        <is>
          <t>M</t>
        </is>
      </c>
      <c r="I24" s="42" t="inlineStr">
        <is>
          <t>管理视图显示每个模板所需的模型和节点、每台服务器缺少哪些、每个模型的商用许可状态（允许 / 禁止 / 未知）</t>
        </is>
      </c>
      <c r="J24" s="40" t="inlineStr">
        <is>
          <t>C# 测试许可字段校验</t>
        </is>
      </c>
      <c r="K24"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任务：模板声明所需模型和节点（requirements）以及每个模型的许可信息（commercial：allowed / forbidden / unknown 与许可链接）。管理视图按服务器列出缺失项和许可状态，许可为 forbidden 或 unknown 时显著提示。按需求文档假设 A2，模型由管理员手动安装，本任务不做跨服务器下载，只给出下载链接和安装位置说明。
请先进入计划模式给出设计方案（改哪些文件、数据结构、接口、风险），我确认后再实现。
完成后：运行相关测试，执行 git diff --check，按 ecomcraft-docs-sync 技能同步文档，并列出改动文件和你做过的验证。</t>
        </is>
      </c>
      <c r="L24" s="46" t="inlineStr">
        <is>
          <t>已完成</t>
        </is>
      </c>
      <c r="M24" s="38" t="inlineStr">
        <is>
          <t>2026-10-28</t>
        </is>
      </c>
      <c r="N24" s="44" t="n"/>
    </row>
    <row r="25" ht="205.5" customHeight="1" s="23">
      <c r="A25" s="47" t="n">
        <v>21</v>
      </c>
      <c r="B25" s="47" t="inlineStr">
        <is>
          <t>T41</t>
        </is>
      </c>
      <c r="C25" s="40" t="inlineStr">
        <is>
          <t>MVP-C：易用与运维</t>
        </is>
      </c>
      <c r="D25" s="33" t="inlineStr">
        <is>
          <t>F38</t>
        </is>
      </c>
      <c r="E25" s="40" t="inlineStr">
        <is>
          <t>上传质量检查</t>
        </is>
      </c>
      <c r="F25" s="42" t="inlineStr">
        <is>
          <t>simple.js；服务端检查</t>
        </is>
      </c>
      <c r="G25" s="42" t="inlineStr">
        <is>
          <t>T13</t>
        </is>
      </c>
      <c r="H25" s="47" t="inlineStr">
        <is>
          <t>S</t>
        </is>
      </c>
      <c r="I25" s="42" t="inlineStr">
        <is>
          <t>分辨率过低、模糊或商品占比过小时用白话提示原因和建议，用户可选择继续</t>
        </is>
      </c>
      <c r="J25" s="40" t="inlineStr">
        <is>
          <t>node 测试阈值判断</t>
        </is>
      </c>
      <c r="K25"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任务：上传商品图时检查分辨率、清晰度（如拉普拉斯方差）和抠图后的商品占比，不达标时用白话提示原因和建议（如“请拍得更近一些”），用户可以选择继续。阈值放在配置中。
完成后：运行相关测试，执行 git diff --check，按 ecomcraft-docs-sync 技能同步文档，并列出改动文件和你做过的验证。</t>
        </is>
      </c>
      <c r="L25" s="46" t="inlineStr">
        <is>
          <t>已完成</t>
        </is>
      </c>
      <c r="M25" s="38" t="inlineStr">
        <is>
          <t>2026-10-28</t>
        </is>
      </c>
      <c r="N25" s="44" t="n"/>
    </row>
    <row r="26" ht="252" customHeight="1" s="23">
      <c r="A26" s="47" t="n">
        <v>22</v>
      </c>
      <c r="B26" s="47" t="inlineStr">
        <is>
          <t>T42</t>
        </is>
      </c>
      <c r="C26" s="40" t="inlineStr">
        <is>
          <t>MVP-C：易用与运维</t>
        </is>
      </c>
      <c r="D26" s="33" t="inlineStr">
        <is>
          <t>F39</t>
        </is>
      </c>
      <c r="E26" s="40" t="inlineStr">
        <is>
          <t>未选候选图自动清理</t>
        </is>
      </c>
      <c r="F26" s="42" t="inlineStr">
        <is>
          <t>Studio/Storage/</t>
        </is>
      </c>
      <c r="G26" s="42" t="inlineStr">
        <is>
          <t>T37；T08</t>
        </is>
      </c>
      <c r="H26" s="47" t="inlineStr">
        <is>
          <t>S</t>
        </is>
      </c>
      <c r="I26" s="42" t="inlineStr">
        <is>
          <t>未被选中、下载或导出的候选图超过设定天数后自动清理；管理员可设置天数或关闭</t>
        </is>
      </c>
      <c r="J26" s="40" t="inlineStr">
        <is>
          <t>C# 测试清理条件</t>
        </is>
      </c>
      <c r="K26"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任务：实现未选候选图自动清理：记录每张候选是否被选中、下载或导出；未被使用的候选超过 N 天（默认 14 天，管理员可修改或关闭）后在后台删除，并更新作品索引。删除前再次确认文件位于作品库内，绝不删除作品库以外的文件。
请先进入计划模式给出设计方案（改哪些文件、数据结构、接口、风险），我确认后再实现。
完成后：运行相关测试，执行 git diff --check，按 ecomcraft-docs-sync 技能同步文档，并列出改动文件和你做过的验证。</t>
        </is>
      </c>
      <c r="L26" s="46" t="inlineStr">
        <is>
          <t>已完成</t>
        </is>
      </c>
      <c r="M26" s="38" t="inlineStr">
        <is>
          <t>2026-10-28</t>
        </is>
      </c>
      <c r="N26" s="44" t="n"/>
    </row>
    <row r="27" ht="205.5" customHeight="1" s="23">
      <c r="A27" s="47" t="n">
        <v>23</v>
      </c>
      <c r="B27" s="47" t="inlineStr">
        <is>
          <t>T43</t>
        </is>
      </c>
      <c r="C27" s="40" t="inlineStr">
        <is>
          <t>MVP-C：易用与运维</t>
        </is>
      </c>
      <c r="D27" s="33" t="inlineStr">
        <is>
          <t>F41</t>
        </is>
      </c>
      <c r="E27" s="40" t="inlineStr">
        <is>
          <t>白话错误提示</t>
        </is>
      </c>
      <c r="F27" s="42" t="inlineStr">
        <is>
          <t>studio.js、翻译表；服务端错误码</t>
        </is>
      </c>
      <c r="G27" s="42" t="inlineStr">
        <is>
          <t>T13</t>
        </is>
      </c>
      <c r="H27" s="47" t="inlineStr">
        <is>
          <t>S</t>
        </is>
      </c>
      <c r="I27" s="42" t="inlineStr">
        <is>
          <t>常见错误（无可用服务器、缺模型、上传格式、超时、存储离线等）都有中英文白话提示和下一步建议</t>
        </is>
      </c>
      <c r="J27" s="40" t="inlineStr">
        <is>
          <t>node 测试错误码映射完整</t>
        </is>
      </c>
      <c r="K27"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任务：整理 EcomCraft 接口的错误码，前端按错误码显示中英文白话提示和下一步建议（如“这台电脑缺少模特图需要的模型，请联系管理员”）。不得把异常堆栈、地址、提示词或节点图显示给用户。
完成后：运行相关测试，执行 git diff --check，按 ecomcraft-docs-sync 技能同步文档，并列出改动文件和你做过的验证。</t>
        </is>
      </c>
      <c r="L27" s="46" t="inlineStr">
        <is>
          <t>已完成</t>
        </is>
      </c>
      <c r="M27" s="38" t="inlineStr">
        <is>
          <t>2026-10-28</t>
        </is>
      </c>
      <c r="N27" s="44" t="n"/>
    </row>
    <row r="28" ht="236.5" customHeight="1" s="23">
      <c r="A28" s="47" t="n">
        <v>24</v>
      </c>
      <c r="B28" s="47" t="inlineStr">
        <is>
          <t>T44</t>
        </is>
      </c>
      <c r="C28" s="40" t="inlineStr">
        <is>
          <t>MVP-C：易用与运维</t>
        </is>
      </c>
      <c r="D28" s="33" t="inlineStr">
        <is>
          <t>F40</t>
        </is>
      </c>
      <c r="E28" s="40" t="inlineStr">
        <is>
          <t>首次设置向导</t>
        </is>
      </c>
      <c r="F28" s="42" t="inlineStr">
        <is>
          <t>管理视图</t>
        </is>
      </c>
      <c r="G28" s="42" t="inlineStr">
        <is>
          <t>T37；T14；T22</t>
        </is>
      </c>
      <c r="H28" s="47" t="inlineStr">
        <is>
          <t>M</t>
        </is>
      </c>
      <c r="I28" s="42" t="inlineStr">
        <is>
          <t>管理员首次进入时依次完成：语言 → 存储位置 → 登记服务器 → 检查模型 → 选常用平台；每步可跳过，之后可重新打开</t>
        </is>
      </c>
      <c r="J28" s="40" t="inlineStr">
        <is>
          <t>在全新的数据目录上走一遍</t>
        </is>
      </c>
      <c r="K28"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任务：为管理员实现首次设置向导：语言、作品存储位置、登记执行服务器（复用 SwarmUI 后端管理，不新建登记方式）、模型检查（复用 T14）、常用平台。每步可跳过，之后可在设置中重新打开。
请先进入计划模式给出设计方案（改哪些文件、数据结构、接口、风险），我确认后再实现。
完成后：运行相关测试，执行 git diff --check，按 ecomcraft-docs-sync 技能同步文档，并列出改动文件和你做过的验证。</t>
        </is>
      </c>
      <c r="L28" s="46" t="inlineStr">
        <is>
          <t>已完成</t>
        </is>
      </c>
      <c r="M28" s="38" t="inlineStr">
        <is>
          <t>2026-10-28</t>
        </is>
      </c>
      <c r="N28" s="44" t="inlineStr">
        <is>
          <t>全新数据目录的第二实例验证了向导各步数据源；界面走查可在部署时复查</t>
        </is>
      </c>
    </row>
    <row r="29" ht="267.5" customHeight="1" s="23">
      <c r="A29" s="47" t="n">
        <v>25</v>
      </c>
      <c r="B29" s="47" t="inlineStr">
        <is>
          <t>T45</t>
        </is>
      </c>
      <c r="C29" s="40" t="inlineStr">
        <is>
          <t>MVP-C：易用与运维</t>
        </is>
      </c>
      <c r="D29" s="33" t="inlineStr">
        <is>
          <t>F42</t>
        </is>
      </c>
      <c r="E29" s="40" t="inlineStr">
        <is>
          <t>手机拍照上传与移动端画廊</t>
        </is>
      </c>
      <c r="F29" s="42" t="inlineStr">
        <is>
          <t>studio.css、simple.js</t>
        </is>
      </c>
      <c r="G29" s="42" t="inlineStr">
        <is>
          <t>T13</t>
        </is>
      </c>
      <c r="H29" s="47" t="inlineStr">
        <is>
          <t>M</t>
        </is>
      </c>
      <c r="I29" s="42" t="inlineStr">
        <is>
          <t>手机浏览器能完成上传（含拍照）、出图和浏览画廊；不依赖需要 HTTPS 的浏览器功能</t>
        </is>
      </c>
      <c r="J29" s="40" t="inlineStr">
        <is>
          <t>Android Chrome 与 iOS Safari 实测</t>
        </is>
      </c>
      <c r="K29"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任务：让简易模式和画廊在手机上可用：上传使用 &lt;input type=file accept=image/* capture&gt;，在 http 局域网地址下也能拍照上传；画廊在窄屏下改为单列。不要使用需要安全上下文的 API（剪贴板读取、Notification 等）。
请先进入计划模式给出设计方案（改哪些文件、数据结构、接口、风险），我确认后再实现。
完成后：运行相关测试，执行 git diff --check，按 ecomcraft-docs-sync 技能同步文档，并列出改动文件和你做过的验证。</t>
        </is>
      </c>
      <c r="L29" s="46" t="inlineStr">
        <is>
          <t>进行中</t>
        </is>
      </c>
      <c r="M29" s="38" t="inlineStr">
        <is>
          <t>2026-10-28</t>
        </is>
      </c>
      <c r="N29" s="44" t="inlineStr">
        <is>
          <t>代码与自动检查完成；Android Chrome / iOS Safari 真机实测待做</t>
        </is>
      </c>
    </row>
    <row r="30" ht="221" customHeight="1" s="23">
      <c r="A30" s="47" t="n">
        <v>26</v>
      </c>
      <c r="B30" s="47" t="inlineStr">
        <is>
          <t>T46</t>
        </is>
      </c>
      <c r="C30" s="40" t="inlineStr">
        <is>
          <t>MVP-C：易用与运维</t>
        </is>
      </c>
      <c r="D30" s="33" t="inlineStr">
        <is>
          <t>F43</t>
        </is>
      </c>
      <c r="E30" s="40" t="inlineStr">
        <is>
          <t>完成通知</t>
        </is>
      </c>
      <c r="F30" s="42" t="inlineStr">
        <is>
          <t>studio.js</t>
        </is>
      </c>
      <c r="G30" s="42" t="inlineStr">
        <is>
          <t>T08</t>
        </is>
      </c>
      <c r="H30" s="47" t="inlineStr">
        <is>
          <t>S</t>
        </is>
      </c>
      <c r="I30" s="42" t="inlineStr">
        <is>
          <t>批量任务完成或失败时页面内提示；页面在后台时标题栏显示进度</t>
        </is>
      </c>
      <c r="J30" s="40" t="inlineStr">
        <is>
          <t>node 测试</t>
        </is>
      </c>
      <c r="K30"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任务：批量任务完成或失败时在页面内提示，并在页面处于后台时用 document.title 显示进度（如“(3/12) EcomCraft”）。不使用需要 HTTPS 的 Notification API。
完成后：运行相关测试，执行 git diff --check，按 ecomcraft-docs-sync 技能同步文档，并列出改动文件和你做过的验证。</t>
        </is>
      </c>
      <c r="L30" s="46" t="inlineStr">
        <is>
          <t>已完成</t>
        </is>
      </c>
      <c r="M30" s="38" t="inlineStr">
        <is>
          <t>2026-10-28</t>
        </is>
      </c>
      <c r="N30" s="44" t="n"/>
    </row>
    <row r="31" ht="252" customHeight="1" s="23">
      <c r="A31" s="47" t="n">
        <v>27</v>
      </c>
      <c r="B31" s="47" t="inlineStr">
        <is>
          <t>T47</t>
        </is>
      </c>
      <c r="C31" s="40" t="inlineStr">
        <is>
          <t>MVP-C：易用与运维</t>
        </is>
      </c>
      <c r="D31" s="33" t="inlineStr">
        <is>
          <t>F44</t>
        </is>
      </c>
      <c r="E31" s="40" t="inlineStr">
        <is>
          <t>一键诊断包</t>
        </is>
      </c>
      <c r="F31" s="42" t="inlineStr">
        <is>
          <t>新增管理接口</t>
        </is>
      </c>
      <c r="G31" s="42" t="inlineStr">
        <is>
          <t>T36</t>
        </is>
      </c>
      <c r="H31" s="47" t="inlineStr">
        <is>
          <t>M</t>
        </is>
      </c>
      <c r="I31" s="42" t="inlineStr">
        <is>
          <t>管理员一键下载 zip：日志、服务器状态、版本与配置；自动去除密钥、密码、提示词、图片和会话信息</t>
        </is>
      </c>
      <c r="J31" s="40" t="inlineStr">
        <is>
          <t>C# 测试脱敏规则</t>
        </is>
      </c>
      <c r="K31"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任务：为管理员增加“下载诊断包”：包含最近日志、各执行服务器状态、版本信息和 EcomCraft 配置。必须去除 API Key、密码、提示词、用户图片和会话信息；服务器地址只在管理员下载时保留。先列出要包含的文件和脱敏规则让我确认。
请先进入计划模式给出设计方案（改哪些文件、数据结构、接口、风险），我确认后再实现。
完成后：运行相关测试，执行 git diff --check，按 ecomcraft-docs-sync 技能同步文档，并列出改动文件和你做过的验证。</t>
        </is>
      </c>
      <c r="L31" s="46" t="inlineStr">
        <is>
          <t>已完成</t>
        </is>
      </c>
      <c r="M31" s="38" t="inlineStr">
        <is>
          <t>2026-10-28</t>
        </is>
      </c>
      <c r="N31" s="44" t="n"/>
    </row>
    <row r="32" ht="236.5" customHeight="1" s="23">
      <c r="A32" s="47" t="n">
        <v>28</v>
      </c>
      <c r="B32" s="47" t="inlineStr">
        <is>
          <t>T48</t>
        </is>
      </c>
      <c r="C32" s="40" t="inlineStr">
        <is>
          <t>MVP-C：易用与运维</t>
        </is>
      </c>
      <c r="D32" s="33" t="inlineStr">
        <is>
          <t>F45</t>
        </is>
      </c>
      <c r="E32" s="40" t="inlineStr">
        <is>
          <t>系统数据备份与升级</t>
        </is>
      </c>
      <c r="F32" s="42" t="inlineStr">
        <is>
          <t>新增管理接口；中英文升级说明</t>
        </is>
      </c>
      <c r="G32" s="42" t="inlineStr">
        <is>
          <t>T37</t>
        </is>
      </c>
      <c r="H32" s="47" t="inlineStr">
        <is>
          <t>M</t>
        </is>
      </c>
      <c r="I32" s="42" t="inlineStr">
        <is>
          <t>一键把 Data/EcomCraft 与账号数据备份为 zip；可从备份恢复；升级文档说明数据如何保留</t>
        </is>
      </c>
      <c r="J32" s="40" t="inlineStr">
        <is>
          <t>备份后在新目录恢复并验证</t>
        </is>
      </c>
      <c r="K32"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任务：为管理员增加系统数据备份与恢复（Data/EcomCraft、账号数据库等，不含作品文件），恢复前校验备份完整性并要求确认。编写中英文升级说明。备份过程不得修改原文件。
请先进入计划模式给出设计方案（改哪些文件、数据结构、接口、风险），我确认后再实现。
完成后：运行相关测试，执行 git diff --check，按 ecomcraft-docs-sync 技能同步文档，并列出改动文件和你做过的验证。</t>
        </is>
      </c>
      <c r="L32" s="46" t="inlineStr">
        <is>
          <t>已完成</t>
        </is>
      </c>
      <c r="M32" s="38" t="inlineStr">
        <is>
          <t>2026-10-28</t>
        </is>
      </c>
      <c r="N32" s="44" t="inlineStr">
        <is>
          <t>备份、恢复、防篡改与无确认拦截均已在本机服务实测</t>
        </is>
      </c>
    </row>
    <row r="33" ht="190" customHeight="1" s="23">
      <c r="A33" s="47" t="n">
        <v>29</v>
      </c>
      <c r="B33" s="47" t="inlineStr">
        <is>
          <t>T49</t>
        </is>
      </c>
      <c r="C33" s="40" t="inlineStr">
        <is>
          <t>MVP-C：易用与运维</t>
        </is>
      </c>
      <c r="D33" s="33" t="inlineStr">
        <is>
          <t>F46</t>
        </is>
      </c>
      <c r="E33" s="40" t="inlineStr">
        <is>
          <t>磁盘空间监控</t>
        </is>
      </c>
      <c r="F33" s="42" t="inlineStr">
        <is>
          <t>Studio/Storage/</t>
        </is>
      </c>
      <c r="G33" s="42" t="inlineStr">
        <is>
          <t>T37</t>
        </is>
      </c>
      <c r="H33" s="47" t="inlineStr">
        <is>
          <t>S</t>
        </is>
      </c>
      <c r="I33" s="42" t="inlineStr">
        <is>
          <t>本机或作品库剩余空间低于阈值时管理员可见警告；严重不足时拒绝新任务并说明原因</t>
        </is>
      </c>
      <c r="J33" s="40" t="inlineStr">
        <is>
          <t>C# 测试阈值判断</t>
        </is>
      </c>
      <c r="K33"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任务：后台定期检查平台服务器本机和作品库位置的剩余空间，低于阈值（可配置）时在管理视图警告；严重不足时拒绝新的生成并给出白话提示。
完成后：运行相关测试，执行 git diff --check，按 ecomcraft-docs-sync 技能同步文档，并列出改动文件和你做过的验证。</t>
        </is>
      </c>
      <c r="L33" s="46" t="inlineStr">
        <is>
          <t>已完成</t>
        </is>
      </c>
      <c r="M33" s="38" t="inlineStr">
        <is>
          <t>2026-10-28</t>
        </is>
      </c>
      <c r="N33" s="44" t="n"/>
    </row>
    <row r="34" ht="221" customHeight="1" s="23">
      <c r="A34" s="47" t="n">
        <v>30</v>
      </c>
      <c r="B34" s="47" t="inlineStr">
        <is>
          <t>T16</t>
        </is>
      </c>
      <c r="C34" s="40" t="inlineStr">
        <is>
          <t>MVP-C：易用与运维</t>
        </is>
      </c>
      <c r="D34" s="33" t="inlineStr">
        <is>
          <t>F10</t>
        </is>
      </c>
      <c r="E34" s="40" t="inlineStr">
        <is>
          <t>中英文 README 与演示</t>
        </is>
      </c>
      <c r="F34" s="42" t="inlineStr">
        <is>
          <t>README.md、README.en.md、docs/README.zh-CN.md、docs/README.md</t>
        </is>
      </c>
      <c r="G34" s="42" t="inlineStr">
        <is>
          <t>T04；T13</t>
        </is>
      </c>
      <c r="H34" s="47" t="inlineStr">
        <is>
          <t>S</t>
        </is>
      </c>
      <c r="I34" s="42" t="inlineStr">
        <is>
          <t>README 顶部有效果对比图、演示视频和部署服务说明；中英文一致；不写未实现的功能</t>
        </is>
      </c>
      <c r="J34" s="40" t="inlineStr">
        <is>
          <t>人工检查</t>
        </is>
      </c>
      <c r="K34"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任务：更新中英文 README 和 docs 索引：顶部加入效果对比图区块（图片稍后提供，先放占位）、演示视频链接位、联系方式与部署服务说明；功能列表按 MVP 实际完成情况更新，不写尚未实现的功能。
完成后：运行相关测试，执行 git diff --check，按 ecomcraft-docs-sync 技能同步文档，并列出改动文件和你做过的验证。</t>
        </is>
      </c>
      <c r="L34" s="46" t="inlineStr">
        <is>
          <t>已完成</t>
        </is>
      </c>
      <c r="M34" s="38" t="inlineStr">
        <is>
          <t>2026-10-28</t>
        </is>
      </c>
      <c r="N34" s="44" t="inlineStr">
        <is>
          <t>效果对比图与演示视频为占位，图片视频稍后提供</t>
        </is>
      </c>
    </row>
    <row r="35" ht="267.5" customHeight="1" s="23">
      <c r="A35" s="47" t="n">
        <v>31</v>
      </c>
      <c r="B35" s="47" t="inlineStr">
        <is>
          <t>T30</t>
        </is>
      </c>
      <c r="C35" s="40" t="inlineStr">
        <is>
          <t>后续：功能增强</t>
        </is>
      </c>
      <c r="D35" s="33" t="inlineStr">
        <is>
          <t>F25</t>
        </is>
      </c>
      <c r="E35" s="40" t="inlineStr">
        <is>
          <t>卖点分析与套图分镜</t>
        </is>
      </c>
      <c r="F35" s="42" t="inlineStr">
        <is>
          <t>提示词服务；新增分镜 API；分镜确认界面</t>
        </is>
      </c>
      <c r="G35" s="42" t="inlineStr">
        <is>
          <t>T08；T38</t>
        </is>
      </c>
      <c r="H35" s="47" t="inlineStr">
        <is>
          <t>L</t>
        </is>
      </c>
      <c r="I35" s="42" t="inlineStr">
        <is>
          <t>上传商品后生成卖点列表与套图分镜（每张图对应模板、提示词片段和用途）；用户可增删改后一键批量生成</t>
        </is>
      </c>
      <c r="J35" s="40" t="inlineStr">
        <is>
          <t>C# 测试分镜结构校验；node 测试确认界面</t>
        </is>
      </c>
      <c r="K35"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任务：新增“卖点分析与套图分镜”。复用提示词服务：输入商品描述（及可选的用户卖点），输出结构化分镜（每一项 = 模板 ID + 提示词片段 + 用途说明）。服务端必须把分镜的每一项再经模板与白名单校验，不能让模型输出直接变成任意参数。工作台展示分镜供用户确认和修改，确认后交给套图与批量。
请先进入计划模式给出设计方案（改哪些文件、数据结构、接口、风险），我确认后再实现。
完成后：运行相关测试，执行 git diff --check，按 ecomcraft-docs-sync 技能同步文档，并列出改动文件和你做过的验证。</t>
        </is>
      </c>
      <c r="L35" s="46" t="inlineStr">
        <is>
          <t>进行中</t>
        </is>
      </c>
      <c r="M35" s="38" t="inlineStr">
        <is>
          <t>2026-10-28</t>
        </is>
      </c>
      <c r="N35" s="44" t="inlineStr">
        <is>
          <t>代码已提交（2115b794），开发机无 .NET SDK 未编译；待编译部署与人工验收。分镜放在简易模式第 2 步，最多 8 张；分镜只保存在当前页面</t>
        </is>
      </c>
    </row>
    <row r="36" ht="252" customHeight="1" s="23">
      <c r="A36" s="47" t="n">
        <v>32</v>
      </c>
      <c r="B36" s="47" t="inlineStr">
        <is>
          <t>T05</t>
        </is>
      </c>
      <c r="C36" s="40" t="inlineStr">
        <is>
          <t>后续：功能增强</t>
        </is>
      </c>
      <c r="D36" s="33" t="inlineStr">
        <is>
          <t>F19</t>
        </is>
      </c>
      <c r="E36" s="40" t="inlineStr">
        <is>
          <t>品类预设</t>
        </is>
      </c>
      <c r="F36" s="42" t="inlineStr">
        <is>
          <t>Studio/Templates/（categories 合并逻辑）；品类选择</t>
        </is>
      </c>
      <c r="G36" s="42" t="inlineStr">
        <is>
          <t>T04</t>
        </is>
      </c>
      <c r="H36" s="47" t="inlineStr">
        <is>
          <t>M</t>
        </is>
      </c>
      <c r="I36" s="42" t="inlineStr">
        <is>
          <t>参数合并顺序为“模板默认 &lt; 品类预设 &lt; 用户输入”，结果全部经白名单校验；界面可选品类</t>
        </is>
      </c>
      <c r="J36" s="40" t="inlineStr">
        <is>
          <t>C# 测试合并顺序与越界拒绝；node 测试界面</t>
        </is>
      </c>
      <c r="K36"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任务：实现模板的品类预设。模板的 categories 中每个品类可覆盖部分参数与提示词片段（如光线、背景描述）。合并顺序：模板默认 &lt; 品类预设 &lt; 用户输入，合并结果仍须经白名单校验。品类名称中英文齐全。
请先进入计划模式给出设计方案（改哪些文件、数据结构、接口、风险），我确认后再实现。
完成后：运行相关测试，执行 git diff --check，按 ecomcraft-docs-sync 技能同步文档，并列出改动文件和你做过的验证。</t>
        </is>
      </c>
      <c r="L36" s="46" t="inlineStr">
        <is>
          <t>未开始</t>
        </is>
      </c>
      <c r="M36" s="38" t="n"/>
      <c r="N36" s="44" t="inlineStr">
        <is>
          <t>依赖 N09（确定主攻品类），未开始</t>
        </is>
      </c>
    </row>
    <row r="37" ht="252" customHeight="1" s="23">
      <c r="A37" s="47" t="n">
        <v>33</v>
      </c>
      <c r="B37" s="47" t="inlineStr">
        <is>
          <t>T17</t>
        </is>
      </c>
      <c r="C37" s="40" t="inlineStr">
        <is>
          <t>后续：功能增强</t>
        </is>
      </c>
      <c r="D37" s="33" t="inlineStr">
        <is>
          <t>F12</t>
        </is>
      </c>
      <c r="E37" s="40" t="inlineStr">
        <is>
          <t>品牌资料包</t>
        </is>
      </c>
      <c r="F37" s="42" t="inlineStr">
        <is>
          <t>新增品牌资料包存储与 API；模板 brand_kit 槽位；管理界面</t>
        </is>
      </c>
      <c r="G37" s="42" t="inlineStr">
        <is>
          <t>T02；T37</t>
        </is>
      </c>
      <c r="H37" s="47" t="inlineStr">
        <is>
          <t>L</t>
        </is>
      </c>
      <c r="I37" s="42" t="inlineStr">
        <is>
          <t>可创建品牌资料包（Logo、品牌色、偏好背景、参考图）；生成时模板自动使用所选资料包；资料包按用户或团队隔离</t>
        </is>
      </c>
      <c r="J37" s="40" t="inlineStr">
        <is>
          <t>C# 测试隔离与校验；本机生成验证</t>
        </is>
      </c>
      <c r="K37"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任务：实现品牌资料包：保存 Logo、品牌色、偏好背景描述和若干风格参考图；生成时模板的 brand_kit 槽位把资料包内容映射到工作流的白名单参数（如参考图输入、提示词片段）。客户端只提交资料包 ID，不得直接提交图片路径。
请先进入计划模式给出设计方案（改哪些文件、数据结构、接口、风险），我确认后再实现。
完成后：运行相关测试，执行 git diff --check，按 ecomcraft-docs-sync 技能同步文档，并列出改动文件和你做过的验证。</t>
        </is>
      </c>
      <c r="L37" s="46" t="inlineStr">
        <is>
          <t>进行中</t>
        </is>
      </c>
      <c r="M37" s="38" t="inlineStr">
        <is>
          <t>2026-10-28</t>
        </is>
      </c>
      <c r="N37" s="44" t="inlineStr">
        <is>
          <t>代码已提交（1edc7338），开发机无 .NET SDK 未编译；待编译部署与人工验收。按个人隔离；Logo 只传给声明槽位的模板；现有内置模板未声明槽位，只有品牌色和背景生效</t>
        </is>
      </c>
    </row>
    <row r="38" ht="267.5" customHeight="1" s="23">
      <c r="A38" s="47" t="n">
        <v>34</v>
      </c>
      <c r="B38" s="47" t="inlineStr">
        <is>
          <t>T09</t>
        </is>
      </c>
      <c r="C38" s="40" t="inlineStr">
        <is>
          <t>后续：功能增强</t>
        </is>
      </c>
      <c r="D38" s="33" t="inlineStr">
        <is>
          <t>F04</t>
        </is>
      </c>
      <c r="E38" s="40" t="inlineStr">
        <is>
          <t>项目归档：服务端存储与 API</t>
        </is>
      </c>
      <c r="F38" s="42" t="inlineStr">
        <is>
          <t>新增项目存储与 API；更新 AGENTS.md 相关规则</t>
        </is>
      </c>
      <c r="G38" s="42" t="inlineStr">
        <is>
          <t>T35；T37</t>
        </is>
      </c>
      <c r="H38" s="47" t="inlineStr">
        <is>
          <t>L</t>
        </is>
      </c>
      <c r="I38" s="42" t="inlineStr">
        <is>
          <t>可创建、重命名、删除项目；作品可归入项目；重启后仍在；平台内只能看到自己的项目</t>
        </is>
      </c>
      <c r="J38" s="40" t="inlineStr">
        <is>
          <t>C# 测试用户隔离与删除</t>
        </is>
      </c>
      <c r="K38"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任务：在现有画廊和作品索引之上增加“项目”：一个项目对应一个客户或一批商品，作品可归入项目，记录模板、参数、种子和执行服务器。平台内按用户隔离，用户可删除自己的记录。AGENTS.md 规定进度观测不得长期保存提示词——本功能是用户主动保存的作品记录，请在方案中说明边界，并在 AGENTS.md 中补充对应规则。
请先进入计划模式给出设计方案（改哪些文件、数据结构、接口、风险），我确认后再实现。
完成后：运行相关测试，执行 git diff --check，按 ecomcraft-docs-sync 技能同步文档，并列出改动文件和你做过的验证。</t>
        </is>
      </c>
      <c r="L38" s="46" t="inlineStr">
        <is>
          <t>进行中</t>
        </is>
      </c>
      <c r="M38" s="38" t="inlineStr">
        <is>
          <t>2026-10-28</t>
        </is>
      </c>
      <c r="N38" s="44" t="inlineStr">
        <is>
          <t>代码已提交（5964e936），开发机无 .NET SDK 未编译；待编译部署与人工验收。保存提示词（用户确认），AGENTS.md 已补充规则；界面见 T10</t>
        </is>
      </c>
    </row>
    <row r="39" ht="221" customHeight="1" s="23">
      <c r="A39" s="47" t="n">
        <v>35</v>
      </c>
      <c r="B39" s="47" t="inlineStr">
        <is>
          <t>T10</t>
        </is>
      </c>
      <c r="C39" s="40" t="inlineStr">
        <is>
          <t>后续：功能增强</t>
        </is>
      </c>
      <c r="D39" s="33" t="inlineStr">
        <is>
          <t>F04</t>
        </is>
      </c>
      <c r="E39" s="40" t="inlineStr">
        <is>
          <t>项目归档：工作台界面</t>
        </is>
      </c>
      <c r="F39" s="42" t="inlineStr">
        <is>
          <t>studio.js、index.html、studio.css</t>
        </is>
      </c>
      <c r="G39" s="42" t="inlineStr">
        <is>
          <t>T09</t>
        </is>
      </c>
      <c r="H39" s="47" t="inlineStr">
        <is>
          <t>M</t>
        </is>
      </c>
      <c r="I39" s="42" t="inlineStr">
        <is>
          <t>可切换当前项目；画廊可按项目筛选；“用相同参数重做”一键回填</t>
        </is>
      </c>
      <c r="J39" s="40" t="inlineStr">
        <is>
          <t>node 测试 + 本机手动验证</t>
        </is>
      </c>
      <c r="K39"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任务：在工作台加入项目选择器：切换当前项目、按项目查看作品、点击“用相同参数重做”回填模板、参数与种子。
请先进入计划模式给出设计方案（改哪些文件、数据结构、接口、风险），我确认后再实现。
完成后：运行相关测试，执行 git diff --check，按 ecomcraft-docs-sync 技能同步文档，并列出改动文件和你做过的验证。</t>
        </is>
      </c>
      <c r="L39" s="46" t="inlineStr">
        <is>
          <t>未开始</t>
        </is>
      </c>
      <c r="M39" s="38" t="n"/>
      <c r="N39" s="44" t="n"/>
    </row>
    <row r="40" ht="236.5" customHeight="1" s="23">
      <c r="A40" s="47" t="n">
        <v>36</v>
      </c>
      <c r="B40" s="47" t="inlineStr">
        <is>
          <t>T50</t>
        </is>
      </c>
      <c r="C40" s="40" t="inlineStr">
        <is>
          <t>后续：功能增强</t>
        </is>
      </c>
      <c r="D40" s="33" t="inlineStr">
        <is>
          <t>F47</t>
        </is>
      </c>
      <c r="E40" s="40" t="inlineStr">
        <is>
          <t>卖点图（固定版式文字）</t>
        </is>
      </c>
      <c r="F40" s="42" t="inlineStr">
        <is>
          <t>新增版式模板；导出模块</t>
        </is>
      </c>
      <c r="G40" s="42" t="inlineStr">
        <is>
          <t>T11</t>
        </is>
      </c>
      <c r="H40" s="47" t="inlineStr">
        <is>
          <t>M</t>
        </is>
      </c>
      <c r="I40" s="42" t="inlineStr">
        <is>
          <t>用户填写卖点文字后按固定版式排版到图上；文字由程序绘制，不由 AI 生成；中英文字体正常</t>
        </is>
      </c>
      <c r="J40" s="40" t="inlineStr">
        <is>
          <t>C# 测试排版；人工检查中英文效果</t>
        </is>
      </c>
      <c r="K40"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任务：实现卖点图：在生成的场景图上按固定版式叠加用户填写的标题和卖点文字（由服务端绘制，不由 AI 生成文字）。提供 2–3 个版式，字体需允许商用并同时支持中英文；先列出字体选择和许可让我确认。
请先进入计划模式给出设计方案（改哪些文件、数据结构、接口、风险），我确认后再实现。
完成后：运行相关测试，执行 git diff --check，按 ecomcraft-docs-sync 技能同步文档，并列出改动文件和你做过的验证。</t>
        </is>
      </c>
      <c r="L40" s="46" t="inlineStr">
        <is>
          <t>进行中</t>
        </is>
      </c>
      <c r="M40" s="38" t="inlineStr">
        <is>
          <t>2026-10-28</t>
        </is>
      </c>
      <c r="N40" s="44" t="inlineStr">
        <is>
          <t>代码已提交（91db91d6），开发机无 .NET SDK 未编译；待编译部署与人工验收。思源黑体（OFL 1.1）随仓库附带；重点检查中英文字体渲染</t>
        </is>
      </c>
    </row>
    <row r="41" ht="221" customHeight="1" s="23">
      <c r="A41" s="47" t="n">
        <v>37</v>
      </c>
      <c r="B41" s="47" t="inlineStr">
        <is>
          <t>T51</t>
        </is>
      </c>
      <c r="C41" s="40" t="inlineStr">
        <is>
          <t>后续：功能增强</t>
        </is>
      </c>
      <c r="D41" s="33" t="inlineStr">
        <is>
          <t>F48</t>
        </is>
      </c>
      <c r="E41" s="40" t="inlineStr">
        <is>
          <t>商品展示视频模板</t>
        </is>
      </c>
      <c r="F41" s="42" t="inlineStr">
        <is>
          <t>内置模板；画廊视频支持</t>
        </is>
      </c>
      <c r="G41" s="42" t="inlineStr">
        <is>
          <t>T04；N02</t>
        </is>
      </c>
      <c r="H41" s="47" t="inlineStr">
        <is>
          <t>L</t>
        </is>
      </c>
      <c r="I41" s="42" t="inlineStr">
        <is>
          <t>商品展示视频模板可用；画廊和导出支持视频</t>
        </is>
      </c>
      <c r="J41" s="40" t="inlineStr">
        <is>
          <t>本机实际生成并检查</t>
        </is>
      </c>
      <c r="K41"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任务：新增商品展示视频模板（工作流由外部专家制作），确认画廊、导出和存储对视频的支持，并评估各执行服务器的显存是否满足要求。
请先进入计划模式给出设计方案（改哪些文件、数据结构、接口、风险），我确认后再实现。
完成后：运行相关测试，执行 git diff --check，按 ecomcraft-docs-sync 技能同步文档，并列出改动文件和你做过的验证。</t>
        </is>
      </c>
      <c r="L41" s="46" t="inlineStr">
        <is>
          <t>未开始</t>
        </is>
      </c>
      <c r="M41" s="38" t="n"/>
      <c r="N41" s="44" t="n"/>
    </row>
    <row r="42" ht="221" customHeight="1" s="23">
      <c r="A42" s="47" t="n">
        <v>38</v>
      </c>
      <c r="B42" s="47" t="inlineStr">
        <is>
          <t>T20</t>
        </is>
      </c>
      <c r="C42" s="40" t="inlineStr">
        <is>
          <t>后续：功能增强</t>
        </is>
      </c>
      <c r="D42" s="33" t="inlineStr">
        <is>
          <t>F49</t>
        </is>
      </c>
      <c r="E42" s="40" t="inlineStr">
        <is>
          <t>可见 AI 标识</t>
        </is>
      </c>
      <c r="F42" s="42" t="inlineStr">
        <is>
          <t>Studio/Export/</t>
        </is>
      </c>
      <c r="G42" s="42" t="inlineStr">
        <is>
          <t>T19</t>
        </is>
      </c>
      <c r="H42" s="47" t="inlineStr">
        <is>
          <t>S</t>
        </is>
      </c>
      <c r="I42" s="42" t="inlineStr">
        <is>
          <t>导出时可选在图片角落加可见 AI 标识（文字与语言可配置）；含 AI 人物的作品可导出清单</t>
        </is>
      </c>
      <c r="J42" s="40" t="inlineStr">
        <is>
          <t>C# 测试标识位置</t>
        </is>
      </c>
      <c r="K42"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任务：导出增加可见 AI 标识选项（默认右上角，文字可配置，如 “AI-generated” / “KI-generiert”），并可导出含 AI 生成人物的作品清单（CSV），方便卖家在平台填写合成人物属性。
完成后：运行相关测试，执行 git diff --check，按 ecomcraft-docs-sync 技能同步文档，并列出改动文件和你做过的验证。</t>
        </is>
      </c>
      <c r="L42" s="46" t="inlineStr">
        <is>
          <t>未开始</t>
        </is>
      </c>
      <c r="M42" s="38" t="n"/>
      <c r="N42" s="44" t="n"/>
    </row>
    <row r="43" ht="236.5" customHeight="1" s="23">
      <c r="A43" s="47" t="n">
        <v>39</v>
      </c>
      <c r="B43" s="47" t="inlineStr">
        <is>
          <t>T18</t>
        </is>
      </c>
      <c r="C43" s="40" t="inlineStr">
        <is>
          <t>后续：功能增强</t>
        </is>
      </c>
      <c r="D43" s="33" t="inlineStr">
        <is>
          <t>F21</t>
        </is>
      </c>
      <c r="E43" s="40" t="inlineStr">
        <is>
          <t>候选图自动筛选</t>
        </is>
      </c>
      <c r="F43" s="42" t="inlineStr">
        <is>
          <t>生成后处理：保真度评分；候选展示</t>
        </is>
      </c>
      <c r="G43" s="42" t="inlineStr">
        <is>
          <t>T07</t>
        </is>
      </c>
      <c r="H43" s="47" t="inlineStr">
        <is>
          <t>L</t>
        </is>
      </c>
      <c r="I43" s="42" t="inlineStr">
        <is>
          <t>每张候选给出保真度分数；低于阈值的默认隐藏；阈值可配置</t>
        </is>
      </c>
      <c r="J43" s="40" t="inlineStr">
        <is>
          <t>C# 测试评分函数；用测试台对比开启前后的合格率</t>
        </is>
      </c>
      <c r="K43"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任务：为候选图计算商品保真度（如生成图与原图商品蒙版的轮廓或 IoU 比较），按分数排序，低于阈值的默认隐藏。请先评估计算成本与所需的工作流输出。
请先进入计划模式给出设计方案（改哪些文件、数据结构、接口、风险），我确认后再实现。
完成后：运行相关测试，执行 git diff --check，按 ecomcraft-docs-sync 技能同步文档，并列出改动文件和你做过的验证。</t>
        </is>
      </c>
      <c r="L43" s="46" t="inlineStr">
        <is>
          <t>未开始</t>
        </is>
      </c>
      <c r="M43" s="38" t="n"/>
      <c r="N43" s="44" t="n"/>
    </row>
    <row r="44" ht="205.5" customHeight="1" s="23">
      <c r="A44" s="47" t="n">
        <v>40</v>
      </c>
      <c r="B44" s="47" t="inlineStr">
        <is>
          <t>T12</t>
        </is>
      </c>
      <c r="C44" s="40" t="inlineStr">
        <is>
          <t>后续：功能增强</t>
        </is>
      </c>
      <c r="D44" s="33" t="inlineStr">
        <is>
          <t>F06</t>
        </is>
      </c>
      <c r="E44" s="40" t="inlineStr">
        <is>
          <t>前后对比图导出</t>
        </is>
      </c>
      <c r="F44" s="42" t="inlineStr">
        <is>
          <t>studio.js（浏览器画布生成）</t>
        </is>
      </c>
      <c r="G44" s="42" t="inlineStr">
        <is>
          <t>T35</t>
        </is>
      </c>
      <c r="H44" s="47" t="inlineStr">
        <is>
          <t>S</t>
        </is>
      </c>
      <c r="I44" s="42" t="inlineStr">
        <is>
          <t>画廊作品可一键生成“原图 | 成品”并排对比 PNG，可加文字标签</t>
        </is>
      </c>
      <c r="J44" s="40" t="inlineStr">
        <is>
          <t>node 测试布局计算；手动导出检查</t>
        </is>
      </c>
      <c r="K44"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任务：在画廊作品上增加“导出对比图”：用浏览器画布把原商品图与成品并排拼成一张 PNG（可选左右或上下、可选标签文字），直接下载，不经过服务端。遵守现有 CSP。
完成后：运行相关测试，执行 git diff --check，按 ecomcraft-docs-sync 技能同步文档，并列出改动文件和你做过的验证。</t>
        </is>
      </c>
      <c r="L44" s="46" t="inlineStr">
        <is>
          <t>未开始</t>
        </is>
      </c>
      <c r="M44" s="38" t="n"/>
      <c r="N44" s="44" t="n"/>
    </row>
    <row r="45" ht="236.5" customHeight="1" s="23">
      <c r="A45" s="47" t="n">
        <v>41</v>
      </c>
      <c r="B45" s="47" t="inlineStr">
        <is>
          <t>T31</t>
        </is>
      </c>
      <c r="C45" s="40" t="inlineStr">
        <is>
          <t>后续：功能增强</t>
        </is>
      </c>
      <c r="D45" s="33" t="inlineStr">
        <is>
          <t>F26</t>
        </is>
      </c>
      <c r="E45" s="40" t="inlineStr">
        <is>
          <t>PSD 分层导出</t>
        </is>
      </c>
      <c r="F45" s="42" t="inlineStr">
        <is>
          <t>Studio/Export/；依赖商品蒙版</t>
        </is>
      </c>
      <c r="G45" s="42" t="inlineStr">
        <is>
          <t>T07</t>
        </is>
      </c>
      <c r="H45" s="47" t="inlineStr">
        <is>
          <t>M</t>
        </is>
      </c>
      <c r="I45" s="42" t="inlineStr">
        <is>
          <t>导出的 PSD 至少包含商品层（带透明通道）和背景层；能在常见设计软件中正常打开</t>
        </is>
      </c>
      <c r="J45" s="40" t="inlineStr">
        <is>
          <t>用设计软件打开检查</t>
        </is>
      </c>
      <c r="K45"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任务：导出增加 PSD 分层格式：商品层（用商品蒙版抠出，带透明通道）、生成背景层、可选文字层。先调研 .NET 下可用且许可允许商用的 PSD 写入方案，给出选择理由。
请先进入计划模式给出设计方案（改哪些文件、数据结构、接口、风险），我确认后再实现。
完成后：运行相关测试，执行 git diff --check，按 ecomcraft-docs-sync 技能同步文档，并列出改动文件和你做过的验证。</t>
        </is>
      </c>
      <c r="L45" s="46" t="inlineStr">
        <is>
          <t>未开始</t>
        </is>
      </c>
      <c r="M45" s="38" t="n"/>
      <c r="N45" s="44" t="n"/>
    </row>
    <row r="46" ht="236.5" customHeight="1" s="23">
      <c r="A46" s="47" t="n">
        <v>42</v>
      </c>
      <c r="B46" s="47" t="inlineStr">
        <is>
          <t>T15</t>
        </is>
      </c>
      <c r="C46" s="40" t="inlineStr">
        <is>
          <t>后续：功能增强</t>
        </is>
      </c>
      <c r="D46" s="33" t="inlineStr">
        <is>
          <t>F09</t>
        </is>
      </c>
      <c r="E46" s="40" t="inlineStr">
        <is>
          <t>模板导入导出</t>
        </is>
      </c>
      <c r="F46" s="42" t="inlineStr">
        <is>
          <t>新增管理员 API；模板包格式（zip）</t>
        </is>
      </c>
      <c r="G46" s="42" t="inlineStr">
        <is>
          <t>T04</t>
        </is>
      </c>
      <c r="H46" s="47" t="inlineStr">
        <is>
          <t>M</t>
        </is>
      </c>
      <c r="I46" s="42" t="inlineStr">
        <is>
          <t>管理员可导出模板包并在另一台机器导入；导入执行与工作流发现相同的结构校验并进入审核；普通用户无权限</t>
        </is>
      </c>
      <c r="J46" s="40" t="inlineStr">
        <is>
          <t>C# 测试导入非法包被拒绝</t>
        </is>
      </c>
      <c r="K46"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任务：定义模板包格式（zip：模板定义 + 所需工作流 + 示例图 + 许可说明）并实现仅管理员可用的导入导出。导入必须复用现有工作流结构校验与审核流程，不得绕过白名单边界。
请先进入计划模式给出设计方案（改哪些文件、数据结构、接口、风险），我确认后再实现。
完成后：运行相关测试，执行 git diff --check，按 ecomcraft-docs-sync 技能同步文档，并列出改动文件和你做过的验证。</t>
        </is>
      </c>
      <c r="L46" s="46" t="inlineStr">
        <is>
          <t>未开始</t>
        </is>
      </c>
      <c r="M46" s="38" t="n"/>
      <c r="N46" s="44" t="n"/>
    </row>
    <row r="47" ht="252" customHeight="1" s="23">
      <c r="A47" s="47" t="n">
        <v>43</v>
      </c>
      <c r="B47" s="47" t="inlineStr">
        <is>
          <t>T32</t>
        </is>
      </c>
      <c r="C47" s="40" t="inlineStr">
        <is>
          <t>后续：功能增强</t>
        </is>
      </c>
      <c r="D47" s="33" t="inlineStr">
        <is>
          <t>F27</t>
        </is>
      </c>
      <c r="E47" s="40" t="inlineStr">
        <is>
          <t>导入 ComfyUI App Mode 应用为模板</t>
        </is>
      </c>
      <c r="F47" s="42" t="inlineStr">
        <is>
          <t>工作流发现与转换；模板导入</t>
        </is>
      </c>
      <c r="G47" s="42" t="inlineStr">
        <is>
          <t>T15</t>
        </is>
      </c>
      <c r="H47" s="47" t="inlineStr">
        <is>
          <t>M</t>
        </is>
      </c>
      <c r="I47" s="42" t="inlineStr">
        <is>
          <t>App Mode 应用中声明的输入映射为模板可调字段；导入仍经结构校验与审核</t>
        </is>
      </c>
      <c r="J47" s="40" t="inlineStr">
        <is>
          <t>C# 回归测试</t>
        </is>
      </c>
      <c r="K47"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任务：调研 ComfyUI App Mode / App Builder 保存应用的数据格式，实现把这类应用导入为 EcomCraft 模板：应用声明的输入映射为模板可调字段。导入仍必须走现有结构校验与审核流程。格式资料不足时，先说明需要我提供哪些样例文件。
请先进入计划模式给出设计方案（改哪些文件、数据结构、接口、风险），我确认后再实现。
完成后：运行相关测试，执行 git diff --check，按 ecomcraft-docs-sync 技能同步文档，并列出改动文件和你做过的验证。</t>
        </is>
      </c>
      <c r="L47" s="46" t="inlineStr">
        <is>
          <t>未开始</t>
        </is>
      </c>
      <c r="M47" s="38" t="n"/>
      <c r="N47" s="44" t="n"/>
    </row>
    <row r="48" ht="252" customHeight="1" s="23">
      <c r="A48" s="47" t="n">
        <v>44</v>
      </c>
      <c r="B48" s="47" t="inlineStr">
        <is>
          <t>T21</t>
        </is>
      </c>
      <c r="C48" s="40" t="inlineStr">
        <is>
          <t>后续：功能增强</t>
        </is>
      </c>
      <c r="D48" s="33" t="inlineStr">
        <is>
          <t>F23</t>
        </is>
      </c>
      <c r="E48" s="40" t="inlineStr">
        <is>
          <t>Apple 芯片 Mac 一键安装 ComfyUI</t>
        </is>
      </c>
      <c r="F48" s="42" t="inlineStr">
        <is>
          <t>src/Core/Installation.cs、launch-macos.sh（启动脚本需格外谨慎）</t>
        </is>
      </c>
      <c r="G48" s="42" t="inlineStr">
        <is>
          <t>T00</t>
        </is>
      </c>
      <c r="H48" s="47" t="inlineStr">
        <is>
          <t>L</t>
        </is>
      </c>
      <c r="I48" s="42" t="inlineStr">
        <is>
          <t>在 Apple 芯片 Mac 上首次设置可自动安装并启动本机 ComfyUI；Windows / Linux 流程不受影响</t>
        </is>
      </c>
      <c r="J48" s="40" t="inlineStr">
        <is>
          <t>在真机 Mac 上手动验证</t>
        </is>
      </c>
      <c r="K48"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 macOS（Apple 芯片）补齐首次设置中的本机 ComfyUI 自动安装与启动。AGENTS.md 要求修改启动器格外谨慎：请先说明现有 Windows / Linux 安装流程，再设计 macOS 分支，确保不影响其他平台。
请先进入计划模式给出设计方案（改哪些文件、数据结构、接口、风险），我确认后再实现。
完成后：运行相关测试，执行 git diff --check，按 ecomcraft-docs-sync 技能同步文档，并列出改动文件和你做过的验证。</t>
        </is>
      </c>
      <c r="L48" s="46" t="inlineStr">
        <is>
          <t>未开始</t>
        </is>
      </c>
      <c r="M48" s="38" t="n"/>
      <c r="N48" s="44" t="n"/>
    </row>
    <row r="49" ht="283" customHeight="1" s="23">
      <c r="A49" s="47" t="n">
        <v>45</v>
      </c>
      <c r="B49" s="47" t="inlineStr">
        <is>
          <t>T23</t>
        </is>
      </c>
      <c r="C49" s="40" t="inlineStr">
        <is>
          <t>后续：团队与商业化</t>
        </is>
      </c>
      <c r="D49" s="33" t="inlineStr">
        <is>
          <t>F11</t>
        </is>
      </c>
      <c r="E49" s="40" t="inlineStr">
        <is>
          <t>EcomCraft 角色与权限细分</t>
        </is>
      </c>
      <c r="F49" s="42" t="inlineStr">
        <is>
          <t>src/Accounts 权限注册；EcomCraft.cs</t>
        </is>
      </c>
      <c r="G49" s="42" t="inlineStr">
        <is>
          <t>T36</t>
        </is>
      </c>
      <c r="H49" s="47" t="inlineStr">
        <is>
          <t>M</t>
        </is>
      </c>
      <c r="I49" s="42" t="inlineStr">
        <is>
          <t>在需求文档已有权限基础上预置管理员、设计师、运营、审核等角色；每个 EcomCraft API 有明确权限要求</t>
        </is>
      </c>
      <c r="J49" s="40" t="inlineStr">
        <is>
          <t>C# 测试各角色可访问的 API</t>
        </is>
      </c>
      <c r="K49"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任务：在需求文档第 4 节已定义的 EcomCraft 权限基础上，结合 SwarmUI 现有角色系统，预置管理员、设计师、运营、审核等角色模板，并核对每个 EcomCraft API 的权限要求。
请先进入计划模式给出设计方案（改哪些文件、数据结构、接口、风险），我确认后再实现。
完成后：运行相关测试，执行 git diff --check，按 ecomcraft-docs-sync 技能同步文档，并列出改动文件和你做过的验证。</t>
        </is>
      </c>
      <c r="L49" s="46" t="inlineStr">
        <is>
          <t>暂缓</t>
        </is>
      </c>
      <c r="M49" s="38" t="n"/>
      <c r="N49" s="44" t="inlineStr">
        <is>
          <t>2026-10-29 决策 A12：不做复杂角色与权限，账号只分管理员和普通账号；本任务不再开发</t>
        </is>
      </c>
    </row>
    <row r="50" ht="221" customHeight="1" s="23">
      <c r="A50" s="47" t="n">
        <v>46</v>
      </c>
      <c r="B50" s="47" t="inlineStr">
        <is>
          <t>T24</t>
        </is>
      </c>
      <c r="C50" s="40" t="inlineStr">
        <is>
          <t>后续：团队与商业化</t>
        </is>
      </c>
      <c r="D50" s="33" t="inlineStr">
        <is>
          <t>F13</t>
        </is>
      </c>
      <c r="E50" s="40" t="inlineStr">
        <is>
          <t>作品审核流程</t>
        </is>
      </c>
      <c r="F50" s="42" t="inlineStr">
        <is>
          <t>作品记录增加审核状态；导出接口检查状态；审核界面</t>
        </is>
      </c>
      <c r="G50" s="42" t="inlineStr">
        <is>
          <t>T23</t>
        </is>
      </c>
      <c r="H50" s="47" t="inlineStr">
        <is>
          <t>M</t>
        </is>
      </c>
      <c r="I50" s="42" t="inlineStr">
        <is>
          <t>作品状态：待审核 / 已通过 / 已退回；未通过的作品不能导出</t>
        </is>
      </c>
      <c r="J50" s="40" t="inlineStr">
        <is>
          <t>C# 测试导出权限检查</t>
        </is>
      </c>
      <c r="K50"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任务：为作品增加审核流程：运营或设计师提交，审核角色通过或退回（附意见），只有已通过的作品能导出。团队可选择是否启用此流程。
请先进入计划模式给出设计方案（改哪些文件、数据结构、接口、风险），我确认后再实现。
完成后：运行相关测试，执行 git diff --check，按 ecomcraft-docs-sync 技能同步文档，并列出改动文件和你做过的验证。</t>
        </is>
      </c>
      <c r="L50" s="46" t="inlineStr">
        <is>
          <t>未开始</t>
        </is>
      </c>
      <c r="M50" s="38" t="n"/>
      <c r="N50" s="44" t="n"/>
    </row>
    <row r="51" ht="221" customHeight="1" s="23">
      <c r="A51" s="47" t="n">
        <v>47</v>
      </c>
      <c r="B51" s="47" t="inlineStr">
        <is>
          <t>T25</t>
        </is>
      </c>
      <c r="C51" s="40" t="inlineStr">
        <is>
          <t>后续：团队与商业化</t>
        </is>
      </c>
      <c r="D51" s="33" t="inlineStr">
        <is>
          <t>F14</t>
        </is>
      </c>
      <c r="E51" s="40" t="inlineStr">
        <is>
          <t>用量统计</t>
        </is>
      </c>
      <c r="F51" s="42" t="inlineStr">
        <is>
          <t>基于作品索引统计；管理员统计页</t>
        </is>
      </c>
      <c r="G51" s="42" t="inlineStr">
        <is>
          <t>T35</t>
        </is>
      </c>
      <c r="H51" s="47" t="inlineStr">
        <is>
          <t>M</t>
        </is>
      </c>
      <c r="I51" s="42" t="inlineStr">
        <is>
          <t>按成员、时间段、执行服务器统计出图量，可导出 CSV</t>
        </is>
      </c>
      <c r="J51" s="40" t="inlineStr">
        <is>
          <t>C# 测试统计口径</t>
        </is>
      </c>
      <c r="K51"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任务：基于作品索引做用量统计：按成员、时间段和执行服务器统计图片与视频数量，管理员可查看并导出 CSV。统计结果不包含提示词。
请先进入计划模式给出设计方案（改哪些文件、数据结构、接口、风险），我确认后再实现。
完成后：运行相关测试，执行 git diff --check，按 ecomcraft-docs-sync 技能同步文档，并列出改动文件和你做过的验证。</t>
        </is>
      </c>
      <c r="L51" s="46" t="inlineStr">
        <is>
          <t>未开始</t>
        </is>
      </c>
      <c r="M51" s="38" t="n"/>
      <c r="N51" s="44" t="n"/>
    </row>
    <row r="52" ht="283" customHeight="1" s="23">
      <c r="A52" s="47" t="n">
        <v>48</v>
      </c>
      <c r="B52" s="47" t="inlineStr">
        <is>
          <t>T52</t>
        </is>
      </c>
      <c r="C52" s="40" t="inlineStr">
        <is>
          <t>后续：团队与商业化</t>
        </is>
      </c>
      <c r="D52" s="33" t="inlineStr">
        <is>
          <t>F50</t>
        </is>
      </c>
      <c r="E52" s="40" t="inlineStr">
        <is>
          <t>用户组与作品共享</t>
        </is>
      </c>
      <c r="F52" s="42" t="inlineStr">
        <is>
          <t>账号与用户组；画廊共享</t>
        </is>
      </c>
      <c r="G52" s="42" t="inlineStr">
        <is>
          <t>T23</t>
        </is>
      </c>
      <c r="H52" s="47" t="inlineStr">
        <is>
          <t>M</t>
        </is>
      </c>
      <c r="I52" s="42" t="inlineStr">
        <is>
          <t>管理员维护用户组；用户可把作品共享到组，同组成员可见，可随时取消</t>
        </is>
      </c>
      <c r="J52" s="40" t="inlineStr">
        <is>
          <t>C# 测试可见性</t>
        </is>
      </c>
      <c r="K52"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任务：实现需求文档 R7.3 与 R9.3：管理员维护用户组，用户可把单个作品共享到组，同组成员在平台内可见，可随时取消共享。注意 D9：存储层不做隔离，本功能只控制平台内的可见性。
请先进入计划模式给出设计方案（改哪些文件、数据结构、接口、风险），我确认后再实现。
完成后：运行相关测试，执行 git diff --check，按 ecomcraft-docs-sync 技能同步文档，并列出改动文件和你做过的验证。</t>
        </is>
      </c>
      <c r="L52" s="46" t="inlineStr">
        <is>
          <t>未开始</t>
        </is>
      </c>
      <c r="M52" s="38" t="n"/>
      <c r="N52" s="44" t="n"/>
    </row>
    <row r="53" ht="283" customHeight="1" s="23">
      <c r="A53" s="47" t="n">
        <v>49</v>
      </c>
      <c r="B53" s="47" t="inlineStr">
        <is>
          <t>T53</t>
        </is>
      </c>
      <c r="C53" s="40" t="inlineStr">
        <is>
          <t>后续：团队与商业化</t>
        </is>
      </c>
      <c r="D53" s="33" t="inlineStr">
        <is>
          <t>F51</t>
        </is>
      </c>
      <c r="E53" s="40" t="inlineStr">
        <is>
          <t>服务器运维</t>
        </is>
      </c>
      <c r="F53" s="42" t="inlineStr">
        <is>
          <t>执行服务器管理</t>
        </is>
      </c>
      <c r="G53" s="42" t="inlineStr">
        <is>
          <t>T34</t>
        </is>
      </c>
      <c r="H53" s="47" t="inlineStr">
        <is>
          <t>M</t>
        </is>
      </c>
      <c r="I53" s="42" t="inlineStr">
        <is>
          <t>支持维护模式（不接新任务，跑完现有任务）、审核通过后一键分发工作流到其他服务器、远程输出目录清理</t>
        </is>
      </c>
      <c r="J53" s="40" t="inlineStr">
        <is>
          <t>多机实测</t>
        </is>
      </c>
      <c r="K53"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任务：实现需求文档第二阶段的服务器运维功能：维护模式、审核通过后通过 ComfyUI 接口把工作流写入其他服务器（模型仍需人工安装）、远程服务器输出目录清理。
请先进入计划模式给出设计方案（改哪些文件、数据结构、接口、风险），我确认后再实现。
完成后：运行相关测试，执行 git diff --check，按 ecomcraft-docs-sync 技能同步文档，并列出改动文件和你做过的验证。</t>
        </is>
      </c>
      <c r="L53" s="46" t="inlineStr">
        <is>
          <t>未开始</t>
        </is>
      </c>
      <c r="M53" s="38" t="n"/>
      <c r="N53" s="44" t="n"/>
    </row>
    <row r="54" ht="236.5" customHeight="1" s="23">
      <c r="A54" s="47" t="n">
        <v>50</v>
      </c>
      <c r="B54" s="47" t="inlineStr">
        <is>
          <t>T27</t>
        </is>
      </c>
      <c r="C54" s="40" t="inlineStr">
        <is>
          <t>后续：团队与商业化</t>
        </is>
      </c>
      <c r="D54" s="33" t="inlineStr">
        <is>
          <t>F16</t>
        </is>
      </c>
      <c r="E54" s="40" t="inlineStr">
        <is>
          <t>按账号数授权</t>
        </is>
      </c>
      <c r="F54" s="42" t="inlineStr">
        <is>
          <t>新增授权模块；src/Accounts（创建账号处校验）</t>
        </is>
      </c>
      <c r="G54" s="42" t="inlineStr">
        <is>
          <t>—</t>
        </is>
      </c>
      <c r="H54" s="47" t="inlineStr">
        <is>
          <t>L</t>
        </is>
      </c>
      <c r="I54" s="42" t="inlineStr">
        <is>
          <t>没有有效许可证或账号数已达上限时不能再创建普通账号，并有明确提示；已有账号与全部功能照常使用，不按功能分级；许可证离线可校验</t>
        </is>
      </c>
      <c r="J54" s="40" t="inlineStr">
        <is>
          <t>C# 测试许可证校验（离线签名）与账号数上限</t>
        </is>
      </c>
      <c r="K54"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任务：实现按账号数授权（决策 A12：按软件销售、按账号数收费，不做复杂角色与权限，不按功能分级）。设计离线可校验的许可证（签名、授权账号数、有效期），在创建账号时校验账号数上限；超限时给出白话提示，不影响已有账号和功能。
请先进入计划模式给出设计方案（改哪些文件、数据结构、接口、风险），我确认后再实现。
完成后：运行相关测试，执行 git diff --check，按 ecomcraft-docs-sync 技能同步文档，并列出改动文件和你做过的验证。</t>
        </is>
      </c>
      <c r="L54" s="46" t="inlineStr">
        <is>
          <t>未开始</t>
        </is>
      </c>
      <c r="M54" s="38" t="n"/>
      <c r="N54" s="44" t="inlineStr">
        <is>
          <t>2026-10-29 按决策 A12 改为按账号数授权，不再依赖 T23</t>
        </is>
      </c>
    </row>
    <row r="55" ht="298.5" customHeight="1" s="23">
      <c r="A55" s="47" t="n">
        <v>51</v>
      </c>
      <c r="B55" s="47" t="inlineStr">
        <is>
          <t>T29</t>
        </is>
      </c>
      <c r="C55" s="40" t="inlineStr">
        <is>
          <t>预留：云端与定制</t>
        </is>
      </c>
      <c r="D55" s="33" t="inlineStr">
        <is>
          <t>F18</t>
        </is>
      </c>
      <c r="E55" s="40" t="inlineStr">
        <is>
          <t>云端生成（先修订规则）</t>
        </is>
      </c>
      <c r="F55" s="42" t="inlineStr">
        <is>
          <t>AGENTS.md、README、需求文档规则修订；新增云端执行方</t>
        </is>
      </c>
      <c r="G55" s="42" t="inlineStr">
        <is>
          <t>T34；T27</t>
        </is>
      </c>
      <c r="H55" s="47" t="inlineStr">
        <is>
          <t>L</t>
        </is>
      </c>
      <c r="I55" s="42" t="inlineStr">
        <is>
          <t>规则修订经确认；只有管理员启用且团队同意数据外发后才可使用云端；局域网繁忙时绝不自动切换；抠图与保真合成仍在本地</t>
        </is>
      </c>
      <c r="J55" s="40" t="inlineStr">
        <is>
          <t>C# 测试默认不走云端</t>
        </is>
      </c>
      <c r="K55"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涉及局域网平台的需求以 docs/EcomCraft 局域网多服务器平台需求.zh-CN.md 为准，需求有变化先改该文档（中英文）。
任务：设计云端生成。这与 AGENTS.md 现行规则冲突：请先起草规则修订和需求文档 R10 的详细需求（执行方类型、数据外发同意、团队预算与每人额度、费用记录、失败处理、绝不自动切换），我确认后再实现。只把“生成”一步交给云端执行方。
请先进入计划模式给出设计方案（改哪些文件、数据结构、接口、风险），我确认后再实现。
完成后：运行相关测试，执行 git diff --check，按 ecomcraft-docs-sync 技能同步文档，并列出改动文件和你做过的验证。</t>
        </is>
      </c>
      <c r="L55" s="46" t="inlineStr">
        <is>
          <t>未开始</t>
        </is>
      </c>
      <c r="M55" s="38" t="n"/>
      <c r="N55" s="44" t="inlineStr">
        <is>
          <t>会修改 AGENTS.md 规则，务必审阅</t>
        </is>
      </c>
    </row>
    <row r="56" ht="236.5" customHeight="1" s="23">
      <c r="A56" s="47" t="n">
        <v>52</v>
      </c>
      <c r="B56" s="47" t="inlineStr">
        <is>
          <t>T28</t>
        </is>
      </c>
      <c r="C56" s="40" t="inlineStr">
        <is>
          <t>预留：云端与定制</t>
        </is>
      </c>
      <c r="D56" s="33" t="inlineStr">
        <is>
          <t>F17</t>
        </is>
      </c>
      <c r="E56" s="40" t="inlineStr">
        <is>
          <t>品牌专属模型训练</t>
        </is>
      </c>
      <c r="F56" s="42" t="inlineStr">
        <is>
          <t>新增训练工作流与任务管理</t>
        </is>
      </c>
      <c r="G56" s="42" t="inlineStr">
        <is>
          <t>T17</t>
        </is>
      </c>
      <c r="H56" s="47" t="inlineStr">
        <is>
          <t>L</t>
        </is>
      </c>
      <c r="I56" s="42" t="inlineStr">
        <is>
          <t>管理员可用某品牌的商品图启动 LoRA 训练，训练结果可绑定到品牌资料包</t>
        </is>
      </c>
      <c r="J56" s="40" t="inlineStr">
        <is>
          <t>真机手动验证</t>
        </is>
      </c>
      <c r="K56" s="40"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任务：调研并设计在本机或局域网执行服务器上训练品牌专属 LoRA 的流程（训练工具选择、显存需求、任务管理），训练结果绑定到品牌资料包。此功能先作为付费定制服务，产品化排在最后。
请先进入计划模式给出设计方案（改哪些文件、数据结构、接口、风险），我确认后再实现。
完成后：运行相关测试，执行 git diff --check，按 ecomcraft-docs-sync 技能同步文档，并列出改动文件和你做过的验证。</t>
        </is>
      </c>
      <c r="L56" s="46" t="inlineStr">
        <is>
          <t>未开始</t>
        </is>
      </c>
      <c r="M56" s="38" t="n"/>
      <c r="N56" s="44" t="n"/>
    </row>
    <row r="57">
      <c r="A57" s="22" t="n">
        <v>53</v>
      </c>
      <c r="B57" s="22" t="inlineStr">
        <is>
          <t>T55</t>
        </is>
      </c>
      <c r="C57" s="22" t="inlineStr">
        <is>
          <t>改版：简易模式 v3</t>
        </is>
      </c>
      <c r="D57" s="22" t="inlineStr">
        <is>
          <t>F53</t>
        </is>
      </c>
      <c r="E57" s="22" t="inlineStr">
        <is>
          <t>简易模式第 2 步：产品类型两级选择、可选风格与模特勾选</t>
        </is>
      </c>
      <c r="F57" s="22" t="inlineStr">
        <is>
          <t>新增 Templates/product-types.json；Prompting/PromptService.cs、Studio/simple.js、index.html、lang/en.js、Tests</t>
        </is>
      </c>
      <c r="G57" s="22" t="inlineStr">
        <is>
          <t>—</t>
        </is>
      </c>
      <c r="H57" s="22" t="inlineStr">
        <is>
          <t>M</t>
        </is>
      </c>
      <c r="I57" s="22" t="inlineStr">
        <is>
          <t>大类/子类两级选择、可选视觉风格（“自动”卡片）与“需要模特”勾选（白底主图互斥）状态正确联动并进入提示词组合；product-types.json 结构校验、无效条目跳过并记日志；选择记入浏览器；中英文界面完整</t>
        </is>
      </c>
      <c r="J57" s="22" t="inlineStr">
        <is>
          <t>node --test studio-i18n / simple-mode 测试；启动服务，浏览器中英文各验证一遍</t>
        </is>
      </c>
      <c r="K57"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简易模式改版需求以 docs/EcomCraft 简易模式改版需求.zh-CN.md 为准（交互原型：docs/EcomCraft 简易模式改版原型.html），需求有变化先改该文档（中英文）。
任务：按需求文档第 3 节实现 F53：新增 product-types.json（4 大类、个护美妆含洗发水/护手霜/身体乳/口红/香水）与服务端读取校验；简易模式第 2 步把风格改为两级产品类型，视觉风格改为可选第二行，新增与白底主图互斥的“需要模特”勾选；子类与模特英文片段并入提示词组合。布局对照交互原型，沿用现有三步卡片网格。
先进入计划模式列出改动文件、数据结构和风险，我确认后再实现。
完成后：运行相关测试，执行 git diff --check，按 ecomcraft-docs-sync 技能同步文档，并列出改动文件和你做过的验证。</t>
        </is>
      </c>
      <c r="L57" s="22" t="inlineStr">
        <is>
          <t>已完成</t>
        </is>
      </c>
      <c r="M57" s="22" t="inlineStr">
        <is>
          <t>2026-10-28</t>
        </is>
      </c>
      <c r="N57" s="22" t="inlineStr">
        <is>
          <t>提交 467c036d；服务已重启部署（扩展程序集含该提交哈希）；浏览器人工验收待做</t>
        </is>
      </c>
    </row>
    <row r="58" ht="32" customHeight="1" s="23">
      <c r="A58" s="22" t="n">
        <v>54</v>
      </c>
      <c r="B58" s="22" t="inlineStr">
        <is>
          <t>T57</t>
        </is>
      </c>
      <c r="C58" s="22" t="inlineStr">
        <is>
          <t>改版：简易模式 v3</t>
        </is>
      </c>
      <c r="D58" s="22" t="inlineStr">
        <is>
          <t>F55</t>
        </is>
      </c>
      <c r="E58" s="22" t="inlineStr">
        <is>
          <t>候选张数手动输入、20 张总上限与出图按钮文案</t>
        </is>
      </c>
      <c r="F58" s="22" t="inlineStr">
        <is>
          <t>Studio/simple.js、index.html、lang/en.js、StudioApi.cs、Generation/BatchService.cs、SetRules.cs</t>
        </is>
      </c>
      <c r="G58" s="22" t="inlineStr">
        <is>
          <t>T55</t>
        </is>
      </c>
      <c r="H58" s="22" t="inlineStr">
        <is>
          <t>S</t>
        </is>
      </c>
      <c r="I58" s="22" t="inlineStr">
        <is>
          <t>数字输入仅接受 1–20 正整数，非法即时提示并禁用按钮；单次出图与一键出整套统一「总张数 ≤ 20」且服务端校验同步；整套预计张数=商品×类型×张数实时提示；两个按钮的区分文案正确；白底主图 1 张提示保持</t>
        </is>
      </c>
      <c r="J58" s="22" t="inlineStr">
        <is>
          <t>边界输入（0、2.5、abc、21）手动验证；服务端超限请求返回错误；界面中英文</t>
        </is>
      </c>
      <c r="K58"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简易模式改版需求以 docs/EcomCraft 简易模式改版需求.zh-CN.md 为准（交互原型：docs/EcomCraft 简易模式改版原型.html），需求有变化先改该文档（中英文）。
任务：按需求文档第 5 节实现 F55：候选张数改数字输入并校验正整数 1–20；单次与整套统一总张数 ≤ 20（服务端同步放宽单批上限并加总张数校验）；「一键出整套」预计张数实时计算、超限禁用并说明原因；「开始出图/一键出整套」提示文案按需求更新。
先进入计划模式列出改动文件、数据结构和风险，我确认后再实现。
完成后：运行相关测试，执行 git diff --check，按 ecomcraft-docs-sync 技能同步文档，并列出改动文件和你做过的验证。</t>
        </is>
      </c>
      <c r="L58" s="22" t="inlineStr">
        <is>
          <t>已完成</t>
        </is>
      </c>
      <c r="M58" s="22" t="inlineStr">
        <is>
          <t>2026-10-28</t>
        </is>
      </c>
      <c r="N58" s="22" t="inlineStr">
        <is>
          <t>提交 0e7c6b3e；服务已重启部署（扩展程序集含该提交哈希）；浏览器人工验收待做</t>
        </is>
      </c>
    </row>
    <row r="59">
      <c r="A59" s="22" t="n">
        <v>55</v>
      </c>
      <c r="B59" s="22" t="inlineStr">
        <is>
          <t>T56</t>
        </is>
      </c>
      <c r="C59" s="22" t="inlineStr">
        <is>
          <t>改版：简易模式 v3</t>
        </is>
      </c>
      <c r="D59" s="22" t="inlineStr">
        <is>
          <t>F54</t>
        </is>
      </c>
      <c r="E59" s="22" t="inlineStr">
        <is>
          <t>双语提示词面板与 AI 扩写</t>
        </is>
      </c>
      <c r="F59" s="22" t="inlineStr">
        <is>
          <t>Prompting/PromptService.cs、Studio/simple.js、index.html、lang/en.js、MagicPrompt</t>
        </is>
      </c>
      <c r="G59" s="22" t="inlineStr">
        <is>
          <t>T55</t>
        </is>
      </c>
      <c r="H59" s="22" t="inlineStr">
        <is>
          <t>M</t>
        </is>
      </c>
      <c r="I59" s="22" t="inlineStr">
        <is>
          <t>「AI 扩写」按面板语言生成并回填双语提示词；中文修改后提交自动翻译成英文（以用户改稿为准，译文回填英文页签）；英文修改直接发送；状态标签三态正确；任务卡片显示实际使用提示词；模型不可用降级提示且不阻塞出图</t>
        </is>
      </c>
      <c r="J59" s="22" t="inlineStr">
        <is>
          <t>翻译测试 + 浏览器中英文验证；模拟 MagicPrompt 不可用走降级</t>
        </is>
      </c>
      <c r="K59"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简易模式改版需求以 docs/EcomCraft 简易模式改版需求.zh-CN.md 为准（交互原型：docs/EcomCraft 简易模式改版原型.html），需求有变化先改该文档（中英文）。
任务：按需求文档第 4 节实现 F54：提示词服务增加扩写/翻译调用；简易模式加「AI 扩写」按钮与中文/English 双语页签面板（都可编辑）；实现发送规则：英文修改直发、中文修改提交时翻译成英文（绝不用旧版本）、引擎提示词固定英文；状态标签与任务卡片的实际提示词展示。
先进入计划模式列出改动文件、数据结构和风险，我确认后再实现。
完成后：运行相关测试，执行 git diff --check，按 ecomcraft-docs-sync 技能同步文档，并列出改动文件和你做过的验证。</t>
        </is>
      </c>
      <c r="L59" s="22" t="inlineStr">
        <is>
          <t>进行中</t>
        </is>
      </c>
      <c r="M59" s="22" t="inlineStr">
        <is>
          <t>2026-10-28</t>
        </is>
      </c>
      <c r="N59" s="22" t="inlineStr">
        <is>
          <t>代码已提交（8124a752），开发机无 .NET SDK 未编译；待编译部署与人工验收。AI 扩写与双语提示词面板</t>
        </is>
      </c>
    </row>
    <row r="60">
      <c r="A60" s="22" t="n">
        <v>56</v>
      </c>
      <c r="B60" s="22" t="inlineStr">
        <is>
          <t>T58</t>
        </is>
      </c>
      <c r="C60" s="22" t="inlineStr">
        <is>
          <t>改版：简易模式 v3</t>
        </is>
      </c>
      <c r="D60" s="22" t="inlineStr">
        <is>
          <t>F56</t>
        </is>
      </c>
      <c r="E60" s="22" t="inlineStr">
        <is>
          <t>出图链路提速：提交即入队</t>
        </is>
      </c>
      <c r="F60" s="22" t="inlineStr">
        <is>
          <t>StudioApi.cs、Generation/、Studio/simple.js</t>
        </is>
      </c>
      <c r="G60" s="22" t="inlineStr">
        <is>
          <t>T56</t>
        </is>
      </c>
      <c r="H60" s="22" t="inlineStr">
        <is>
          <t>M</t>
        </is>
      </c>
      <c r="I60" s="22" t="inlineStr">
        <is>
          <t>提交立即返回任务号并入队，无最长 45 秒同步等待；提示词组合/翻译在后台完成（45 秒上限保留）；已扩写未改或改英文时跳过模型调用；状态三段（生成提示词→排队/执行含服务器名→完成）；降级用默认提示词不阻塞；一键出整套同样改造</t>
        </is>
      </c>
      <c r="J60" s="22" t="inlineStr">
        <is>
          <t>手动提交观察状态流转；断开 MagicPrompt 验证降级出图</t>
        </is>
      </c>
      <c r="K60"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简易模式改版需求以 docs/EcomCraft 简易模式改版需求.zh-CN.md 为准（交互原型：docs/EcomCraft 简易模式改版原型.html），需求有变化先改该文档（中英文）。
任务：按需求文档第 6 节实现 F56：把 EcomCraftStudioGenerate 与 EcomCraftStudioGenerateSet 提交路径上的提示词组合移到后台任务；提交立即入队返回任务号；满足跳过条件（已扩写未改/改英文）时不调模型；前端状态三段显示；保留降级与超时。
先进入计划模式列出改动文件、数据结构和风险，我确认后再实现。
完成后：运行相关测试，执行 git diff --check，按 ecomcraft-docs-sync 技能同步文档，并列出改动文件和你做过的验证。</t>
        </is>
      </c>
      <c r="L60" s="22" t="inlineStr">
        <is>
          <t>进行中</t>
        </is>
      </c>
      <c r="M60" s="22" t="inlineStr">
        <is>
          <t>2026-10-28</t>
        </is>
      </c>
      <c r="N60" s="22" t="inlineStr">
        <is>
          <t>代码已提交（aee5a0bd），开发机无 .NET SDK 未编译；待编译部署与人工验收。提交即返回、后台生成提示词、三段任务状态</t>
        </is>
      </c>
    </row>
    <row r="61">
      <c r="A61" s="22" t="n">
        <v>57</v>
      </c>
      <c r="B61" s="22" t="inlineStr">
        <is>
          <t>T59</t>
        </is>
      </c>
      <c r="C61" s="22" t="inlineStr">
        <is>
          <t>改版：简易模式 v3</t>
        </is>
      </c>
      <c r="D61" s="22" t="inlineStr">
        <is>
          <t>F57</t>
        </is>
      </c>
      <c r="E61" s="22" t="inlineStr">
        <is>
          <t>标准工作流自动生成（蓝图生成器）</t>
        </is>
      </c>
      <c r="F61" s="22" t="inlineStr">
        <is>
          <t>Templates/、WorkflowReview*.cs、StudioApi.cs、EcomCraft.cs、设置页</t>
        </is>
      </c>
      <c r="G61" s="22" t="inlineStr">
        <is>
          <t>T58；N01</t>
        </is>
      </c>
      <c r="H61" s="22" t="inlineStr">
        <is>
          <t>L</t>
        </is>
      </c>
      <c r="I61" s="22" t="inlineStr">
        <is>
          <t>蓝图生成器按图片类型生成标准工作流 JSON，以「系统生成」来源经 WorkflowReview 发布、可下架；启动自动检查补建 + 管理员设置页「初始化标准工作流」按钮与状态清单；使用管理员指定的默认大模型并复用 F08 依赖检查（缺模型不注册并提示）；初版覆盖场景、细节与含模特场景；普通用户仍只能提交工作流 ID</t>
        </is>
      </c>
      <c r="J61" s="22" t="inlineStr">
        <is>
          <t>全新环境（登记执行服务器+装默认模型）不手工建工作流完成场景/细节出图；审核列表可见系统来源并可下架；缺模型时提示且不注册</t>
        </is>
      </c>
      <c r="K61"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简易模式改版需求以 docs/EcomCraft 简易模式改版需求.zh-CN.md 为准（交互原型：docs/EcomCraft 简易模式改版原型.html），需求有变化先改该文档（中英文）。
任务：按需求文档第 7 节实现 F57：新增工作流蓝图生成器（默认大模型+采样器+解码+保存；保真模板带商品图输入节点）；注册走 WorkflowReview 标记“系统生成”并自动发布、可下架；服务启动自动检查补建 + 管理员设置页初始化按钮与状态清单；设置中指定默认大模型并复用依赖检查。安全边界不变：客户端仍只提交工作流 ID。
先进入计划模式列出改动文件、数据结构和风险，我确认后再实现。
完成后：运行相关测试，执行 git diff --check，按 ecomcraft-docs-sync 技能同步文档，并列出改动文件和你做过的验证。</t>
        </is>
      </c>
      <c r="L61" s="22" t="inlineStr">
        <is>
          <t>进行中</t>
        </is>
      </c>
      <c r="N61" s="22" t="inlineStr">
        <is>
          <t>代码已提交：StandardWorkflows 生成器、系统生成发布、启动检查、管理员状态弹窗；蓝图 Templates/blueprints/text-to-image.json 已提交（69e495b9，来自用户验证过的 Qwen-Image 2.1 文生图工作流，去掉 ResolutionSelector）；待编译与验收</t>
        </is>
      </c>
    </row>
    <row r="62">
      <c r="A62" s="22" t="n">
        <v>58</v>
      </c>
      <c r="B62" s="22" t="inlineStr">
        <is>
          <t>T54</t>
        </is>
      </c>
      <c r="C62" s="22" t="inlineStr">
        <is>
          <t>改版：简易模式 v3</t>
        </is>
      </c>
      <c r="D62" s="22" t="inlineStr">
        <is>
          <t>F52</t>
        </is>
      </c>
      <c r="E62" s="22" t="inlineStr">
        <is>
          <t>上传四入口：本机、拍照、商品库与画廊选图</t>
        </is>
      </c>
      <c r="F62" s="22" t="inlineStr">
        <is>
          <t>Studio/simple.js、index.html、lang/en.js、StudioApi.cs（画廊/商品库接口复用）</t>
        </is>
      </c>
      <c r="G62" s="22" t="inlineStr">
        <is>
          <t>T55</t>
        </is>
      </c>
      <c r="H62" s="22" t="inlineStr">
        <is>
          <t>M</t>
        </is>
      </c>
      <c r="I62" s="22" t="inlineStr">
        <is>
          <t>四个入口并列；商品库与画廊弹窗选择（画廊标注已生成作品）；画廊选图客户端压缩到 5 MB；F38 质量检查对画廊选图生效；缩略图显示来源标识；入库、重命名、删除与普通上传一致</t>
        </is>
      </c>
      <c r="J62" s="22" t="inlineStr">
        <is>
          <t>四入口各上传一次手动验证（含大于 5 MB 的画廊图压缩）；中英文界面</t>
        </is>
      </c>
      <c r="K62"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简易模式改版需求以 docs/EcomCraft 简易模式改版需求.zh-CN.md 为准（交互原型：docs/EcomCraft 简易模式改版原型.html），需求有变化先改该文档（中英文）。
任务：按需求文档第 2 节实现 F52：第 1 步四个并列入口；商品库折叠入口改为并列按钮弹窗；新增画廊选图弹窗（复用作品列表接口），选图压缩到 5 MB 再用，质量检查与入库规则同普通上传，缩略图标注来源。
先进入计划模式列出改动文件、数据结构和风险，我确认后再实现。
完成后：运行相关测试，执行 git diff --check，按 ecomcraft-docs-sync 技能同步文档，并列出改动文件和你做过的验证。</t>
        </is>
      </c>
      <c r="L62" s="22" t="inlineStr">
        <is>
          <t>进行中</t>
        </is>
      </c>
      <c r="M62" s="22" t="inlineStr">
        <is>
          <t>2026-10-28</t>
        </is>
      </c>
      <c r="N62" s="22" t="inlineStr">
        <is>
          <t>代码已提交（01c120e7，只改前端）；待人工验收。上传四入口、画廊选图压缩</t>
        </is>
      </c>
    </row>
    <row r="63">
      <c r="A63" s="22" t="n">
        <v>59</v>
      </c>
      <c r="B63" s="22" t="inlineStr">
        <is>
          <t>T60</t>
        </is>
      </c>
      <c r="C63" s="22" t="inlineStr">
        <is>
          <t>后续：功能增强</t>
        </is>
      </c>
      <c r="D63" s="22" t="inlineStr">
        <is>
          <t>F58</t>
        </is>
      </c>
      <c r="E63" s="22" t="inlineStr">
        <is>
          <t>平台预设槽位化：槽位 schema v3、套图槽位映射与导出压缩</t>
        </is>
      </c>
      <c r="F63" s="22" t="inlineStr">
        <is>
          <t>Templates/platforms.json、ExportRules.cs、ExportService.cs、EcomTemplate.cs、simple.js、lang/en.js、Tests</t>
        </is>
      </c>
      <c r="G63" s="22" t="inlineStr">
        <is>
          <t>T11；N06</t>
        </is>
      </c>
      <c r="H63" s="22" t="inlineStr">
        <is>
          <t>M</t>
        </is>
      </c>
      <c r="I63" s="22" t="inlineStr">
        <is>
          <t>选淘宝 / 京东等平台后套图按各自槽位组合（白底位置与张数、比例）；导出文件不超过槽位大小上限；主体占比与禁用内容作为提示；旧 platforms.json（v2）仍可读取；N06 核对后的预设可置 verified</t>
        </is>
      </c>
      <c r="J63" s="22" t="inlineStr">
        <is>
          <t>C# 测试槽位解析与压缩上限；node 测试平台选择界面；中英文界面检查</t>
        </is>
      </c>
      <c r="K63"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设计以 docs/EcomCraft 平台预设槽位设计.zh-CN.md 为准，需求有变化先改该文档（中英文）。
任务：实现平台预设槽位化（F58）：platforms.json 升级为多槽位结构（尺寸比例、白底位置与张数、主体占比、单张大小上限、禁用内容、AI 标识策略），套图按平台槽位组合模板，导出按槽位规格处理并按大小上限自动压缩；保持 v2 读取兼容；客户端仍只提交平台 ID。
先进入计划模式列出改动文件、数据结构和风险，我确认后再实现。
完成后：运行相关测试，执行 git diff --check，按 ecomcraft-docs-sync 技能同步文档，并列出改动文件和你做过的验证。</t>
        </is>
      </c>
      <c r="L63" s="22" t="inlineStr">
        <is>
          <t>进行中</t>
        </is>
      </c>
      <c r="M63" s="22" t="inlineStr">
        <is>
          <t>2026-10-28</t>
        </is>
      </c>
      <c r="N63" s="22" t="inlineStr">
        <is>
          <t>代码完成：159 项 C# 测试与 node 测试全部通过；待重启部署后浏览器人工验收（中英文各一遍）；规范数值待 N06 核对；同类型可选槽位不重复生成，只作额外导出目标</t>
        </is>
      </c>
    </row>
    <row r="64">
      <c r="A64" s="22" t="n">
        <v>60</v>
      </c>
      <c r="B64" s="22" t="inlineStr">
        <is>
          <t>T61</t>
        </is>
      </c>
      <c r="C64" s="22" t="inlineStr">
        <is>
          <t>后续：功能增强</t>
        </is>
      </c>
      <c r="D64" s="22" t="inlineStr">
        <is>
          <t>F59</t>
        </is>
      </c>
      <c r="E64" s="22" t="inlineStr">
        <is>
          <t>参考图 P1：独立参考模式（上传、逐张可编辑提示词、按参考出图）</t>
        </is>
      </c>
      <c r="F64" s="22" t="inlineStr">
        <is>
          <t>Studio/simple.js、index.html、lang/en.js、Prompting/PromptService.cs、StudioApi.cs、Generation/BatchService.cs、Tests</t>
        </is>
      </c>
      <c r="G64" s="22" t="inlineStr">
        <is>
          <t>T56；T58</t>
        </is>
      </c>
      <c r="H64" s="22" t="inlineStr">
        <is>
          <t>M</t>
        </is>
      </c>
      <c r="I64" s="22" t="inlineStr">
        <is>
          <t>上传 1–8 张参考图（第 9 张拒绝并提示）即进入参考模式：图片类型、视觉风格、模特、品牌资料包、描述、候选张数、分镜停用并标注；每张参考的英文提示词可编辑且以改稿为准（任务卡片 prompt_used 可查）；按 商品 × 参考 每张出 1 张并受 20 张上限；与 shots 互斥；vision 未开启时参考模式不可用、普通出图不受影响；任务卡片显示参考缩略图；参考图不落盘、重启不留痕；海外平台加强版权提示；中英文界面完整</t>
        </is>
      </c>
      <c r="J64" s="22" t="inlineStr">
        <is>
          <t>node --test studio-i18n / simple-mode；C# 展开与校验测试；浏览器中英文人工验收</t>
        </is>
      </c>
      <c r="K64"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参考图需求以 docs/EcomCraft 参考图需求.zh-CN.md 为准（v1.2 独立参考模式），需求有变化先改该文档（中英文）。
任务：实现参考图 P1（F59）：第 2 步参考图上传（最多 8 张、客户端压缩、版权与海外平台提示），上传后其余第 2 步选项停用；新增 EcomCraftStudioReferenceDescribe 逐张生成英文构图描述与中文译文；界面逐张展示提示词（英文可编辑、中文只读）；EcomCraftStudioGenerateSet 参考模式按 商品 × 参考 每张出 1 张（固定保真场景模板、reference_prompts 逐张必填并清理、与 shots 互斥返回 invalid_parameters、20 张上限）；任务带 reference_index；参考图只存内存批次，不写入 Data/。先进入计划模式列出改动文件、数据结构和风险，我确认后再实现。完成后：运行相关测试，执行 git diff --check，按 ecomcraft-docs-sync 技能同步文档（含 AGENTS.md 参考图规则），并列出改动文件和你做过的验证。</t>
        </is>
      </c>
      <c r="L64" s="22" t="inlineStr">
        <is>
          <t>进行中</t>
        </is>
      </c>
      <c r="M64" s="22" t="inlineStr">
        <is>
          <t>2026-10-28</t>
        </is>
      </c>
      <c r="N64" s="22" t="inlineStr">
        <is>
          <t>P1 代码完成：160 项 C# 测试与 35 项 node 测试全部通过；待重启部署后浏览器人工验收（含 vision 开启实测）；参考任务提示词按原文发送（raw_prompt 不带模板前后缀）；AGENTS.md 已补参考图规则；验收中发现看图描述无前端开关，已在提示词优化设置弹窗补上（勾选后保存即调 EcomCraftPromptSettings，显示当前视觉模型），并补齐提示词指南英文版</t>
        </is>
      </c>
    </row>
    <row r="65" s="23">
      <c r="A65" s="22" t="n">
        <v>61</v>
      </c>
      <c r="B65" s="22" t="inlineStr">
        <is>
          <t>T62</t>
        </is>
      </c>
      <c r="C65" s="22" t="inlineStr">
        <is>
          <t>后续：功能增强</t>
        </is>
      </c>
      <c r="D65" s="22" t="inlineStr">
        <is>
          <t>F59</t>
        </is>
      </c>
      <c r="E65" s="22" t="inlineStr">
        <is>
          <t>参考图 P2：画面参考（参考模式改用图生图工作流）</t>
        </is>
      </c>
      <c r="F65" s="22" t="inlineStr">
        <is>
          <t>Templates/（reference 槽位）、EcomTemplate.cs、TemplateValidator、图生图模板（N02 / F57 扩展）、Tests</t>
        </is>
      </c>
      <c r="G65" s="22" t="inlineStr">
        <is>
          <t>N10；T61</t>
        </is>
      </c>
      <c r="H65" s="22" t="inlineStr">
        <is>
          <t>L</t>
        </is>
      </c>
      <c r="I65" s="22" t="inlineStr">
        <is>
          <t>参考模式下改用图生图：模板声明 reference 图片槽位并通过校验（不与品牌槽位同参数）；每个任务把自己的参考图填入图生图输入；缺图生图模型时选项置灰并说明原因；重绘幅度由模板固化在偏低区间</t>
        </is>
      </c>
      <c r="J65" s="22" t="inlineStr">
        <is>
          <t>C# 槽位校验测试；真机图生图生成验证（依赖 N10 模型安装）</t>
        </is>
      </c>
      <c r="K65"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参考图需求以 docs/EcomCraft 参考图需求.zh-CN.md 为准，需求有变化先改该文档（中英文）。
任务：实现参考图 P2（F59）：模板新增 reference 槽位声明（指向快照图片参数、不与 brand_kit 槽位重复，模板校验）；生成时每个任务把自己的参考图填入对应参数（服务端填参，白名单不变）；界面“画面参考”选项按模板槽位与模型依赖（F08）决定可用性；配套图生图模板由 N02 专家制作或 F57 生成器扩展。先进入计划模式列出改动文件、数据结构和风险，我确认后再实现。完成后：运行相关测试，执行 git diff --check，按 ecomcraft-docs-sync 技能同步文档，并列出改动文件和你做过的验证。</t>
        </is>
      </c>
      <c r="L65" s="22" t="inlineStr">
        <is>
          <t>未开始</t>
        </is>
      </c>
      <c r="M65" s="22" t="n"/>
      <c r="N65" s="22" t="inlineStr">
        <is>
          <t>依赖 N10（图生图方案未定）；工作流需 N02 或 F57 扩展</t>
        </is>
      </c>
    </row>
    <row r="66" s="23">
      <c r="A66" s="22" t="n">
        <v>62</v>
      </c>
      <c r="B66" s="22" t="inlineStr">
        <is>
          <t>T63</t>
        </is>
      </c>
      <c r="C66" s="22" t="inlineStr">
        <is>
          <t>改版：界面 v4</t>
        </is>
      </c>
      <c r="D66" s="22" t="inlineStr">
        <is>
          <t>F60</t>
        </is>
      </c>
      <c r="E66" s="22" t="inlineStr">
        <is>
          <t>专业模式向所有账号开放</t>
        </is>
      </c>
      <c r="F66" s="22" t="inlineStr">
        <is>
          <t>Studio/studio.js、Studio/simple.js、StudioApi.cs（专业模式用到的接口权限）、Tests/simple-mode.test.cjs</t>
        </is>
      </c>
      <c r="G66" s="22" t="inlineStr">
        <is>
          <t>—</t>
        </is>
      </c>
      <c r="H66" s="22" t="inlineStr">
        <is>
          <t>M</t>
        </is>
      </c>
      <c r="I66" s="22" t="inlineStr">
        <is>
          <t>普通账号导航出现“专业模式”并能打开 #create 正常出图；默认仍进入简易模式；简易模式仍没有专业参数；专业模式生成仍只走已登记执行服务器和服务端校验；审核、服务器、存储、设置向导等管理视图仍只对管理员可见；任何账号可在专业模式里上传 ComfyUI 工作流 JSON，经服务端校验后上传者自己马上能用（只对上传者可见、拒绝禁用节点），其他账号要经审核发布</t>
        </is>
      </c>
      <c r="J66" s="22" t="inlineStr">
        <is>
          <t>node --test studio-i18n / simple-mode；普通账号与管理员账号各登录一次手动验证</t>
        </is>
      </c>
      <c r="K66"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任务：按决策 A2 把专业模式开放给所有账号（平面设计人员在专业模式里调整模型、采样器、LoRA、步数等参数）。去掉 studio.js / simple.js 里“专业模式只给管理员”的前端限制，核对专业模式用到的 SwarmUI 与 EcomCraft 接口对普通账号的权限是否足够，只放开出图所需的权限，不放开服务器设置、后端管理等管理员功能。在专业模式里加入“上传工作流”入口，上传的 JSON 经与导入相同的校验并生成参数白名单后作为上传者的自用工作流立即可用，其他账号要经审核发布；按 AGENTS.md 的自用工作流规则实现禁用节点列表。同步 README（中英文）、工作台界面设计文档（中英文）和 ecomcraft-studio-ui 技能。
请先进入计划模式给出设计方案（改哪些文件、权限变化、风险），我确认后再实现。
完成后：运行相关测试，执行 git diff --check，按 ecomcraft-docs-sync 技能同步文档，并列出改动文件和你做过的验证。</t>
        </is>
      </c>
      <c r="L66" s="22" t="inlineStr">
        <is>
          <t>进行中</t>
        </is>
      </c>
      <c r="M66" s="22" t="n"/>
      <c r="N66" s="22" t="inlineStr">
        <is>
          <t>第 1、2 步代码已提交：专业模式对所有账号开放、上传自用工作流（三层禁用规则、每账号 20 个、2 MB）；提交审核发布拆为 T73；待编译与验收</t>
        </is>
      </c>
    </row>
    <row r="67">
      <c r="A67" s="22" t="n">
        <v>63</v>
      </c>
      <c r="B67" s="22" t="inlineStr">
        <is>
          <t>T64</t>
        </is>
      </c>
      <c r="C67" s="22" t="inlineStr">
        <is>
          <t>改版：界面 v4</t>
        </is>
      </c>
      <c r="D67" s="22" t="inlineStr">
        <is>
          <t>F61</t>
        </is>
      </c>
      <c r="E67" s="22" t="inlineStr">
        <is>
          <t>简易模式先选任务：任务卡片、按任务显示第 2 步、更多选项折叠</t>
        </is>
      </c>
      <c r="F67" s="22" t="inlineStr">
        <is>
          <t>Studio/simple.js、index.html、studio.css、lang/en.js、Tests/simple-mode.test.cjs</t>
        </is>
      </c>
      <c r="G67" s="22" t="inlineStr">
        <is>
          <t>T61</t>
        </is>
      </c>
      <c r="H67" s="22" t="inlineStr">
        <is>
          <t>M</t>
        </is>
      </c>
      <c r="I67" s="22" t="inlineStr">
        <is>
          <t>顶部三个任务卡片（照参考图做默认且排第一）；照参考图做只显示平台、参考图与逐张提示词和“按参考出图”；做一张图显示平台、图片类型、产品类型、更多选项（默认收起）、张数和“开始出图”；出一整套显示平台与可选槽位、产品类型、更多选项、张数、卖点分镜和一键出整套；任务与更多选项的展开状态记在浏览器；切换任务不清空商品图和参考图</t>
        </is>
      </c>
      <c r="J67" s="22" t="inlineStr">
        <is>
          <t>node --test simple-mode / studio-i18n；三个任务各出一次图手动验证；中英文界面</t>
        </is>
      </c>
      <c r="K67"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任务：按需求文档第 5 节实现简易模式“先选任务，再填内容”。
完成后：运行相关测试，执行 git diff --check，按 ecomcraft-docs-sync 技能同步文档，并列出改动文件和你做过的验证。</t>
        </is>
      </c>
      <c r="L67" s="22" t="inlineStr">
        <is>
          <t>进行中</t>
        </is>
      </c>
      <c r="M67" s="22" t="n"/>
      <c r="N67" s="22" t="inlineStr">
        <is>
          <t>代码已提交（0d562bef，只改前端）；待浏览器验收</t>
        </is>
      </c>
    </row>
    <row r="68">
      <c r="A68" s="22" t="n">
        <v>64</v>
      </c>
      <c r="B68" s="22" t="inlineStr">
        <is>
          <t>T65</t>
        </is>
      </c>
      <c r="C68" s="22" t="inlineStr">
        <is>
          <t>改版：界面 v4</t>
        </is>
      </c>
      <c r="D68" s="22" t="inlineStr">
        <is>
          <t>F62</t>
        </is>
      </c>
      <c r="E68" s="22" t="inlineStr">
        <is>
          <t>导航、管理菜单与用词统一</t>
        </is>
      </c>
      <c r="F68" s="22" t="inlineStr">
        <is>
          <t>Studio/index.html、studio.js、studio.css、lang/en.js</t>
        </is>
      </c>
      <c r="G68" s="22" t="inlineStr">
        <is>
          <t>T64</t>
        </is>
      </c>
      <c r="H68" s="22" t="inlineStr">
        <is>
          <t>M</t>
        </is>
      </c>
      <c r="I68" s="22" t="inlineStr">
        <is>
          <t>顶栏为出图 / 专业模式 / 画廊 / 队列；管理员看到“管理”菜单（工作流审核、设置向导、提示词设置、存储与备份、原生引擎），普通账号看不到；原生引擎只给管理员；界面用词符合需求文档第 3 节</t>
        </is>
      </c>
      <c r="J68" s="22" t="inlineStr">
        <is>
          <t>node --test；管理员与普通账号各登录一次检查导航</t>
        </is>
      </c>
      <c r="K68"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任务：按需求文档第 3、4 节整理导航、管理菜单和用词。
完成后：运行相关测试，执行 git diff --check，按 ecomcraft-docs-sync 技能同步文档，并列出改动文件和你做过的验证。</t>
        </is>
      </c>
      <c r="L68" s="22" t="inlineStr">
        <is>
          <t>进行中</t>
        </is>
      </c>
      <c r="M68" s="22" t="n"/>
      <c r="N68" s="22" t="inlineStr">
        <is>
          <t>代码已提交；待浏览器验收（管理员与普通账号各看一次）</t>
        </is>
      </c>
    </row>
    <row r="69">
      <c r="A69" s="22" t="n">
        <v>65</v>
      </c>
      <c r="B69" s="22" t="inlineStr">
        <is>
          <t>T66</t>
        </is>
      </c>
      <c r="C69" s="22" t="inlineStr">
        <is>
          <t>改版：界面 v4</t>
        </is>
      </c>
      <c r="D69" s="22" t="inlineStr">
        <is>
          <t>F63</t>
        </is>
      </c>
      <c r="E69" s="22" t="inlineStr">
        <is>
          <t>手机只做简易模式</t>
        </is>
      </c>
      <c r="F69" s="22" t="inlineStr">
        <is>
          <t>Studio/studio.css、studio.js、Tests/mobile.test.cjs</t>
        </is>
      </c>
      <c r="G69" s="22" t="inlineStr">
        <is>
          <t>T65</t>
        </is>
      </c>
      <c r="H69" s="22" t="inlineStr">
        <is>
          <t>S</t>
        </is>
      </c>
      <c r="I69" s="22" t="inlineStr">
        <is>
          <t>窄屏不显示专业模式入口；手机打开 #create 时说明请到电脑上使用并回到出图；简易模式、画廊、队列在手机上无横向滚动</t>
        </is>
      </c>
      <c r="J69" s="22" t="inlineStr">
        <is>
          <t>node --test mobile；手机浏览器手动检查</t>
        </is>
      </c>
      <c r="K69"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任务：按决策 U9 实现手机只做简易模式。
完成后：运行相关测试，执行 git diff --check，按 ecomcraft-docs-sync 技能同步文档，并列出改动文件和你做过的验证。</t>
        </is>
      </c>
      <c r="L69" s="22" t="inlineStr">
        <is>
          <t>进行中</t>
        </is>
      </c>
      <c r="M69" s="22" t="n"/>
      <c r="N69" s="22" t="inlineStr">
        <is>
          <t>代码已提交（只改前端）：≤720px 隐藏专业模式入口与相关按钮（.pro-only），#create 回到出图并提示；待手机浏览器验收</t>
        </is>
      </c>
    </row>
    <row r="70">
      <c r="A70" s="22" t="n">
        <v>66</v>
      </c>
      <c r="B70" s="22" t="inlineStr">
        <is>
          <t>T67</t>
        </is>
      </c>
      <c r="C70" s="22" t="inlineStr">
        <is>
          <t>改版：界面 v4</t>
        </is>
      </c>
      <c r="D70" s="22" t="inlineStr">
        <is>
          <t>F64</t>
        </is>
      </c>
      <c r="E70" s="22" t="inlineStr">
        <is>
          <t>简易模式到专业模式单向衔接</t>
        </is>
      </c>
      <c r="F70" s="22" t="inlineStr">
        <is>
          <t>Studio/simple.js、studio.js</t>
        </is>
      </c>
      <c r="G70" s="22" t="inlineStr">
        <is>
          <t>T63</t>
        </is>
      </c>
      <c r="H70" s="22" t="inlineStr">
        <is>
          <t>M</t>
        </is>
      </c>
      <c r="I70" s="22" t="inlineStr">
        <is>
          <t>候选图上“在专业模式里精修”打开专业模式，带上这张图（作为图生图初始图）和实际发送的英文提示词；专业模式的修改不回写简易模式；普通账号同样可用</t>
        </is>
      </c>
      <c r="J70" s="22" t="inlineStr">
        <is>
          <t>手动验证：简易模式出图后点精修，专业模式参数已带入并能出图</t>
        </is>
      </c>
      <c r="K70"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任务：按决策 U7 实现简易模式到专业模式的单向衔接；先进入计划模式说明带入哪些字段、如何复用专业模式现有的初始图入口，我确认后再实现。
完成后：运行相关测试，执行 git diff --check，按 ecomcraft-docs-sync 技能同步文档，并列出改动文件和你做过的验证。</t>
        </is>
      </c>
      <c r="L70" s="22" t="inlineStr">
        <is>
          <t>进行中</t>
        </is>
      </c>
      <c r="M70" s="22" t="n"/>
      <c r="N70" s="22" t="inlineStr">
        <is>
          <t>代码已提交：只选中一张候选图时“在专业模式里精修”，图作为图生图初始图，提示词由 EcomCraftStudioWorkRecipe 从作品元数据读取；窄屏隐藏；待编译与验收</t>
        </is>
      </c>
    </row>
    <row r="71">
      <c r="A71" s="22" t="n">
        <v>67</v>
      </c>
      <c r="B71" s="22" t="inlineStr">
        <is>
          <t>T68</t>
        </is>
      </c>
      <c r="C71" s="22" t="inlineStr">
        <is>
          <t>改版：界面 v4</t>
        </is>
      </c>
      <c r="D71" s="22" t="inlineStr">
        <is>
          <t>F65</t>
        </is>
      </c>
      <c r="E71" s="22" t="inlineStr">
        <is>
          <t>候选图收藏（初筛）</t>
        </is>
      </c>
      <c r="F71" s="22" t="inlineStr">
        <is>
          <t>Studio/simple.js、Generation/（候选清理）</t>
        </is>
      </c>
      <c r="G71" s="22" t="inlineStr">
        <is>
          <t>T64</t>
        </is>
      </c>
      <c r="H71" s="22" t="inlineStr">
        <is>
          <t>S</t>
        </is>
      </c>
      <c r="I71" s="22" t="inlineStr">
        <is>
          <t>候选图上有收藏按钮，状态与画廊收藏一致；收藏的候选图不会被候选清理删除</t>
        </is>
      </c>
      <c r="J71" s="22" t="inlineStr">
        <is>
          <t>手动验证收藏后画廊“已收藏”可见；C# 测试候选清理跳过已收藏</t>
        </is>
      </c>
      <c r="K71"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任务：按决策 U5 在候选图上加入收藏，复用 ToggleImageStarred 与候选保留（EcomCraftStudioMarkKept）。
完成后：运行相关测试，执行 git diff --check，按 ecomcraft-docs-sync 技能同步文档，并列出改动文件和你做过的验证。</t>
        </is>
      </c>
      <c r="L71" s="22" t="inlineStr">
        <is>
          <t>进行中</t>
        </is>
      </c>
      <c r="M71" s="22" t="n"/>
      <c r="N71" s="22" t="inlineStr">
        <is>
          <t>代码已提交（只改前端）：候选图左上角收藏，调用 ToggleImageStarred，收藏时同时 EcomCraftStudioMarkKept 以免原图被清理；待浏览器验收</t>
        </is>
      </c>
    </row>
    <row r="72">
      <c r="A72" s="22" t="n">
        <v>68</v>
      </c>
      <c r="B72" s="22" t="inlineStr">
        <is>
          <t>T69</t>
        </is>
      </c>
      <c r="C72" s="22" t="inlineStr">
        <is>
          <t>改版：界面 v4</t>
        </is>
      </c>
      <c r="D72" s="22" t="inlineStr">
        <is>
          <t>F66</t>
        </is>
      </c>
      <c r="E72" s="22" t="inlineStr">
        <is>
          <t>画廊与队列整理</t>
        </is>
      </c>
      <c r="F72" s="22" t="inlineStr">
        <is>
          <t>Studio/studio.js、index.html、studio.css</t>
        </is>
      </c>
      <c r="G72" s="22" t="inlineStr">
        <is>
          <t>T68</t>
        </is>
      </c>
      <c r="H72" s="22" t="inlineStr">
        <is>
          <t>M</t>
        </is>
      </c>
      <c r="I72" s="22" t="inlineStr">
        <is>
          <t>画廊可按收藏筛选并区分简易模式与专业模式作品；队列把当前账号的任务放在前面；用词符合需求文档第 3 节</t>
        </is>
      </c>
      <c r="J72" s="22" t="inlineStr">
        <is>
          <t>node --test；手动检查画廊与队列</t>
        </is>
      </c>
      <c r="K72"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任务：按需求文档整理画廊与队列。先进入计划模式给出改动方案，我确认后再实现。
完成后：运行相关测试，执行 git diff --check，按 ecomcraft-docs-sync 技能同步文档，并列出改动文件和你做过的验证。</t>
        </is>
      </c>
      <c r="L72" s="22" t="inlineStr">
        <is>
          <t>进行中</t>
        </is>
      </c>
      <c r="M72" s="22" t="n"/>
      <c r="N72" s="22" t="inlineStr">
        <is>
          <t>代码已提交（只改前端）：画廊来源筛选（按元数据 ecomcraft_template 判断），队列顺序为我的请求 → 服务器任务 → 他人请求；收藏筛选沿用已有“已收藏”；待浏览器验收</t>
        </is>
      </c>
    </row>
    <row r="73" s="23">
      <c r="A73" s="22" t="n">
        <v>69</v>
      </c>
      <c r="B73" s="22" t="inlineStr">
        <is>
          <t>T70</t>
        </is>
      </c>
      <c r="C73" s="22" t="inlineStr">
        <is>
          <t>改版：界面 v4</t>
        </is>
      </c>
      <c r="D73" s="22" t="inlineStr">
        <is>
          <t>F67</t>
        </is>
      </c>
      <c r="E73" s="22" t="inlineStr">
        <is>
          <t>收藏偏好分析与提示词反哺</t>
        </is>
      </c>
      <c r="F73" s="22" t="inlineStr">
        <is>
          <t>待定</t>
        </is>
      </c>
      <c r="G73" s="22" t="inlineStr">
        <is>
          <t>T68</t>
        </is>
      </c>
      <c r="H73" s="22" t="inlineStr">
        <is>
          <t>L</t>
        </is>
      </c>
      <c r="I73" s="22" t="inlineStr">
        <is>
          <t>待定：方案确认后补充</t>
        </is>
      </c>
      <c r="J73" s="22" t="inlineStr">
        <is>
          <t>待定</t>
        </is>
      </c>
      <c r="K73"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任务：按需求文档第 6 节草案设计收藏偏好分析与提示词反哺；先补 AGENTS.md 数据规则并进入计划模式，我确认后再实现。
完成后：运行相关测试，执行 git diff --check，按 ecomcraft-docs-sync 技能同步文档，并列出改动文件和你做过的验证。</t>
        </is>
      </c>
      <c r="L73" s="22" t="inlineStr">
        <is>
          <t>暂缓</t>
        </is>
      </c>
      <c r="M73" s="22" t="n"/>
      <c r="N73" s="22" t="inlineStr">
        <is>
          <t>2026-10-29 用户：不急，留待办，方案未定</t>
        </is>
      </c>
    </row>
    <row r="74">
      <c r="A74" s="22" t="n">
        <v>70</v>
      </c>
      <c r="B74" s="22" t="inlineStr">
        <is>
          <t>T71</t>
        </is>
      </c>
      <c r="C74" s="22" t="inlineStr">
        <is>
          <t>改版：界面 v4</t>
        </is>
      </c>
      <c r="D74" s="22" t="inlineStr">
        <is>
          <t>F68</t>
        </is>
      </c>
      <c r="E74" s="22" t="inlineStr">
        <is>
          <t>看图描述默认开启与配置引导</t>
        </is>
      </c>
      <c r="F74" s="22" t="inlineStr">
        <is>
          <t>Prompting/PromptService.cs、Studio/simple.js、lang/en.js</t>
        </is>
      </c>
      <c r="G74" s="22" t="inlineStr">
        <is>
          <t>T64</t>
        </is>
      </c>
      <c r="H74" s="22" t="inlineStr">
        <is>
          <t>M</t>
        </is>
      </c>
      <c r="I74" s="22" t="inlineStr">
        <is>
          <t>未设置过开关时看图描述为开启，商品图描述仍需管理员明确开启；视觉模型状态接口返回 ready / off / unreachable / model_missing / no_model 与服务类型、模型名称（不含地址）；“照参考图做”在不可用时说明原因，管理员看到处理步骤，普通账号看到请联系管理员</t>
        </is>
      </c>
      <c r="J74" s="22" t="inlineStr">
        <is>
          <t>C# 测试开关默认值；node --test；关掉 Ollama、删除模型、关闭开关各验证一次提示</t>
        </is>
      </c>
      <c r="K74"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任务：按决策 U12 实现看图描述默认开启与配置引导。
完成后：运行相关测试，执行 git diff --check，按 ecomcraft-docs-sync 技能同步文档，并列出改动文件和你做过的验证。</t>
        </is>
      </c>
      <c r="L74" s="22" t="inlineStr">
        <is>
          <t>进行中</t>
        </is>
      </c>
      <c r="M74" s="22" t="n"/>
      <c r="N74" s="22" t="inlineStr">
        <is>
          <t>代码已提交（01d90430）；待编译与验收</t>
        </is>
      </c>
    </row>
    <row r="75">
      <c r="A75" s="22" t="n">
        <v>71</v>
      </c>
      <c r="B75" s="22" t="inlineStr">
        <is>
          <t>T72</t>
        </is>
      </c>
      <c r="C75" s="22" t="inlineStr">
        <is>
          <t>改版：界面 v4</t>
        </is>
      </c>
      <c r="D75" s="22" t="inlineStr">
        <is>
          <t>F69</t>
        </is>
      </c>
      <c r="E75" s="22" t="inlineStr">
        <is>
          <t>看图模型一键安装脚本</t>
        </is>
      </c>
      <c r="F75" s="22" t="inlineStr">
        <is>
          <t>launchtools/install-vision-model-windows.ps1、launchtools/install-vision-model-linux.sh、Studio/simple.js、docs/EcomCraft Prompt Enhancement（中英文）</t>
        </is>
      </c>
      <c r="G75" s="22" t="inlineStr">
        <is>
          <t>T71</t>
        </is>
      </c>
      <c r="H75" s="22" t="inlineStr">
        <is>
          <t>S</t>
        </is>
      </c>
      <c r="I75" s="22" t="inlineStr">
        <is>
          <t>管理员运行脚本后：未安装 Ollama 时自动安装，启动服务并拉取设置中的视觉模型；已安装时只拉取模型；每一步输出白话结果，失败时说明原因和手动步骤</t>
        </is>
      </c>
      <c r="J75" s="22" t="inlineStr">
        <is>
          <t>全新 Windows 机器运行一次；已装 Ollama 的机器运行一次</t>
        </is>
      </c>
      <c r="K75"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任务：按决策 U12 编写看图模型一键安装脚本，先进入计划模式说明安装来源、模型选择和失败处理，我确认后再实现。
完成后：运行相关测试，执行 git diff --check，按 ecomcraft-docs-sync 技能同步文档，并列出改动文件和你做过的验证。</t>
        </is>
      </c>
      <c r="L75" s="22" t="inlineStr">
        <is>
          <t>进行中</t>
        </is>
      </c>
      <c r="M75" s="22" t="n"/>
      <c r="N75" s="22" t="inlineStr">
        <is>
          <t>安装来源：Windows 用 winget（Ollama.Ollama），否则官方 OllamaSetup.exe 且校验数字签名；Linux 用官方 install.sh；模型名默认 llama3.2-vision:latest，可传参；待真机验收</t>
        </is>
      </c>
    </row>
    <row r="76" s="23">
      <c r="A76" s="22" t="n">
        <v>72</v>
      </c>
      <c r="B76" s="22" t="inlineStr">
        <is>
          <t>T73</t>
        </is>
      </c>
      <c r="C76" s="22" t="inlineStr">
        <is>
          <t>改版：界面 v4</t>
        </is>
      </c>
      <c r="D76" s="22" t="inlineStr">
        <is>
          <t>F60</t>
        </is>
      </c>
      <c r="E76" s="22" t="inlineStr">
        <is>
          <t>自用工作流提交审核、发布给全员</t>
        </is>
      </c>
      <c r="F76" s="22" t="inlineStr">
        <is>
          <t>OwnWorkflowApi.cs、WorkflowReview.cs、WorkflowReviewApi.cs、studio.js</t>
        </is>
      </c>
      <c r="G76" s="22" t="inlineStr">
        <is>
          <t>T63</t>
        </is>
      </c>
      <c r="H76" s="22" t="inlineStr">
        <is>
          <t>M</t>
        </is>
      </c>
      <c r="I76" s="22" t="inlineStr">
        <is>
          <t>“我的工作流”可提交审核（附说明）；管理员在“管理 → 工作流审核”看到并可配置参数、通过或驳回；通过后复制为正式发布快照，所有账号可用，原自用工作流保留给上传者；驳回原因只给上传者</t>
        </is>
      </c>
      <c r="J76" s="22" t="inlineStr">
        <is>
          <t>C# 测试状态流转；管理员与普通账号各操作一次</t>
        </is>
      </c>
      <c r="K76"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界面改版需求以 docs/EcomCraft 界面改版需求.zh-CN.md 为准，需求有变化先改该文档（中英文）。
任务：按需求文档 5.1 与决策 U6 实现自用工作流提交审核与发布。先进入计划模式给出状态流转和接口设计，我确认后再实现。
完成后：运行相关测试，执行 git diff --check，按 ecomcraft-docs-sync 技能同步文档，并列出改动文件和你做过的验证。</t>
        </is>
      </c>
      <c r="L76" s="22" t="inlineStr">
        <is>
          <t>进行中</t>
        </is>
      </c>
      <c r="M76" s="22" t="n"/>
      <c r="N76" s="22" t="inlineStr">
        <is>
          <t>代码已提交：EcomCraftStudioWorkflowSubmitOwn；审核列表显示待审核上传项，通过后 PublishOwn 复制为“上传/&lt;名称&gt;”发布快照；驳回原因只给上传者；待编译与验收</t>
        </is>
      </c>
    </row>
    <row r="77" s="23">
      <c r="A77" s="22" t="n">
        <v>73</v>
      </c>
      <c r="B77" s="22" t="inlineStr">
        <is>
          <t>T74</t>
        </is>
      </c>
      <c r="C77" s="22" t="inlineStr">
        <is>
          <t>后续：功能增强</t>
        </is>
      </c>
      <c r="D77" s="22" t="inlineStr">
        <is>
          <t>F70</t>
        </is>
      </c>
      <c r="E77" s="22" t="inlineStr">
        <is>
          <t>预计剩余时间</t>
        </is>
      </c>
      <c r="F77" s="22" t="inlineStr">
        <is>
          <t>Generation/TaskTiming.cs、Generation/DurationRules.cs、ExecutionScheduler.cs、StudioApi.cs、BatchService.cs、Prompting/PromptService.cs、MagicPrompt/LLMAPICalls.cs、Studio/simple.js、studio.js、lang/en.js、Tests</t>
        </is>
      </c>
      <c r="G77" s="22" t="inlineStr">
        <is>
          <t>T58</t>
        </is>
      </c>
      <c r="H77" s="22" t="inlineStr">
        <is>
          <t>M</t>
        </is>
      </c>
      <c r="I77" s="22" t="inlineStr">
        <is>
          <t>生成提示词、写分镜、看图描述、优化提示词和出图在等待时显示“预计还需约 X”并在两次刷新之间倒数；超出预计显示“比平时慢，仍在处理…”；没有历史数据时只显示已用时间；排队中的出图显示“约 X 后开始”；估算只用最近 20 次耗时的中位数，不保存提示词、图片或其他内容，重启后清空；队列与整套出图状态只给本账号的任务带估算</t>
        </is>
      </c>
      <c r="J77" s="22" t="inlineStr">
        <is>
          <t>C# 测试中位数与剩余时间计算；node --test；连续出几张图后看估算是否接近实际，同时排队两张看“约多久后开始”</t>
        </is>
      </c>
      <c r="K77" s="22" t="inlineStr">
        <is>
          <t>请先阅读 AGENTS.md 和 docs/EcomCraft Architecture.zh-CN.md，遵守 EcomCraft 规则：客户端只提交模板 / 工作流 ID、服务端发布的参数白名单和各类 ID，不提交任意 ComfyUI JSON 或文件路径；生成只发往已登记的执行服务器（本机或局域网 ComfyUI），不向任何云端生成服务发送请求；接口遵守最小披露。用户可见文字走中英文翻译表；涉及的文档中英文同步更新。
任务：实现 F70 预计剩余时间。
完成后：运行相关测试，执行 git diff --check，按 ecomcraft-docs-sync 技能同步文档，并列出改动文件和你做过的验证。</t>
        </is>
      </c>
      <c r="L77" s="22" t="inlineStr">
        <is>
          <t>进行中</t>
        </is>
      </c>
      <c r="M77" s="22" t="n"/>
      <c r="N77" s="22" t="inlineStr">
        <is>
          <t>2026-10-29 方案已确认：服务端按类别记录耗时中位数，出图按工作流 + 尺寸 + 服务器统计单张耗时，排队任务给出约多久后开始</t>
        </is>
      </c>
    </row>
    <row r="78" s="23">
      <c r="A78" s="40" t="inlineStr">
        <is>
          <t>规模：S 约半天以内，M 约 1–2 天，L 3 天以上（含你的验证时间，仅供粗略估计）。原 T03、T26 已分别并入 T13、T34。</t>
        </is>
      </c>
    </row>
  </sheetData>
  <autoFilter ref="A4:N37"/>
  <conditionalFormatting sqref="L5:L200">
    <cfRule type="expression" priority="1" dxfId="7">
      <formula>$L5="已完成"</formula>
    </cfRule>
    <cfRule type="expression" priority="2" dxfId="8">
      <formula>$L5="进行中"</formula>
    </cfRule>
  </conditionalFormatting>
  <dataValidations count="1">
    <dataValidation sqref="L5:L200" showDropDown="0" showInputMessage="0" showErrorMessage="0" allowBlank="1" type="list">
      <formula1>"未开始,进行中,已完成,暂缓"</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22" min="1" max="1"/>
    <col width="26" customWidth="1" style="22" min="2" max="2"/>
    <col width="56" customWidth="1" style="22" min="3" max="3"/>
    <col width="16" customWidth="1" style="22" min="4" max="4"/>
    <col width="10" customWidth="1" style="22" min="5" max="6"/>
    <col width="20" customWidth="1" style="22" min="7" max="7"/>
  </cols>
  <sheetData>
    <row r="1" ht="17.35" customHeight="1" s="23">
      <c r="A1" s="28" t="inlineStr">
        <is>
          <t>非开发事项</t>
        </is>
      </c>
    </row>
    <row r="2" ht="15" customHeight="1" s="23">
      <c r="A2" s="29" t="inlineStr">
        <is>
          <t>这些事需要你自己完成，部分开发任务依赖它们。</t>
        </is>
      </c>
    </row>
    <row r="4" ht="17.15" customHeight="1" s="23">
      <c r="A4" s="30" t="inlineStr">
        <is>
          <t>编号</t>
        </is>
      </c>
      <c r="B4" s="30" t="inlineStr">
        <is>
          <t>事项</t>
        </is>
      </c>
      <c r="C4" s="30" t="inlineStr">
        <is>
          <t>说明</t>
        </is>
      </c>
      <c r="D4" s="30" t="inlineStr">
        <is>
          <t>关联</t>
        </is>
      </c>
      <c r="E4" s="30" t="inlineStr">
        <is>
          <t>状态</t>
        </is>
      </c>
      <c r="F4" s="30" t="inlineStr">
        <is>
          <t>负责人</t>
        </is>
      </c>
      <c r="G4" s="30" t="inlineStr">
        <is>
          <t>备注</t>
        </is>
      </c>
    </row>
    <row r="5" ht="35" customHeight="1" s="23">
      <c r="A5" s="47" t="inlineStr">
        <is>
          <t>N01</t>
        </is>
      </c>
      <c r="B5" s="40" t="inlineStr">
        <is>
          <t>选定可商用的基础模型</t>
        </is>
      </c>
      <c r="C5" s="40" t="inlineStr">
        <is>
          <t>优先评估指令编辑类模型；把“允许商用”作为第一条筛选标准，记录许可链接</t>
        </is>
      </c>
      <c r="D5" s="42" t="inlineStr">
        <is>
          <t>S1 → T14</t>
        </is>
      </c>
      <c r="E5" s="46" t="inlineStr">
        <is>
          <t>已完成</t>
        </is>
      </c>
      <c r="F5" s="44" t="n"/>
      <c r="G5" s="44" t="inlineStr">
        <is>
          <t>2026-10-28 选定（用户已在执行服务器部署并试用）：UNet qwen-image-2.1-UC-Q4_K_M.gguf（GGUF 量化，需 ComfyUI-GGUF 节点）、文本编码器 qwen3vl_8b_int8_convrot.safetensors、VAE qwen_image_2.1_vae_bf16.safetensors；先用于文生图。该具体版本的商用许可待对照模型发布页核对。</t>
        </is>
      </c>
    </row>
    <row r="6" ht="50.5" customHeight="1" s="23">
      <c r="A6" s="47" t="inlineStr">
        <is>
          <t>N02</t>
        </is>
      </c>
      <c r="B6" s="40" t="inlineStr">
        <is>
          <t>委托专家制作 4 个模板工作流</t>
        </is>
      </c>
      <c r="C6" s="40" t="inlineStr">
        <is>
          <t>白底主图、场景图、细节图、模特或手持图；必须同时输出商品蒙版；在 ComfyUI 社区或 Fiverr / Upwork 按单付费或分成合作</t>
        </is>
      </c>
      <c r="D6" s="42" t="inlineStr">
        <is>
          <t>S2 → T04、T07</t>
        </is>
      </c>
      <c r="E6" s="46" t="inlineStr">
        <is>
          <t>未开始</t>
        </is>
      </c>
      <c r="F6" s="44" t="n"/>
      <c r="G6" s="44" t="n"/>
    </row>
    <row r="7" ht="35" customHeight="1" s="23">
      <c r="A7" s="47" t="inlineStr">
        <is>
          <t>N03</t>
        </is>
      </c>
      <c r="B7" s="40" t="inlineStr">
        <is>
          <t>收集测试商品</t>
        </is>
      </c>
      <c r="C7" s="40" t="inlineStr">
        <is>
          <t>先在主攻品类收集约 15 个，再按“测试商品集”工作表的四类难点扩充到约 30 个</t>
        </is>
      </c>
      <c r="D7" s="42" t="inlineStr">
        <is>
          <t>S3 → T06</t>
        </is>
      </c>
      <c r="E7" s="46" t="inlineStr">
        <is>
          <t>未开始</t>
        </is>
      </c>
      <c r="F7" s="44" t="n"/>
      <c r="G7" s="44" t="n"/>
    </row>
    <row r="8" ht="19.5" customHeight="1" s="23">
      <c r="A8" s="47" t="inlineStr">
        <is>
          <t>N04</t>
        </is>
      </c>
      <c r="B8" s="40" t="inlineStr">
        <is>
          <t>制定付费定制服务价格</t>
        </is>
      </c>
      <c r="C8" s="40" t="inlineStr">
        <is>
          <t>标准模板覆盖不了的需求单独报价</t>
        </is>
      </c>
      <c r="D8" s="42" t="inlineStr">
        <is>
          <t>S7</t>
        </is>
      </c>
      <c r="E8" s="46" t="inlineStr">
        <is>
          <t>暂缓</t>
        </is>
      </c>
      <c r="F8" s="44" t="n"/>
      <c r="G8" s="44" t="inlineStr">
        <is>
          <t>MVP 后再定</t>
        </is>
      </c>
    </row>
    <row r="9" ht="35" customHeight="1" s="23">
      <c r="A9" s="47" t="inlineStr">
        <is>
          <t>N05</t>
        </is>
      </c>
      <c r="B9" s="40" t="inlineStr">
        <is>
          <t>开代做店验证需求</t>
        </is>
      </c>
      <c r="C9" s="40" t="inlineStr">
        <is>
          <t>闲鱼 / 淘宝 / Fiverr 挂出商品图代做服务</t>
        </is>
      </c>
      <c r="D9" s="42" t="inlineStr">
        <is>
          <t>获客与验证</t>
        </is>
      </c>
      <c r="E9" s="46" t="inlineStr">
        <is>
          <t>暂缓</t>
        </is>
      </c>
      <c r="F9" s="44" t="n"/>
      <c r="G9" s="44" t="inlineStr">
        <is>
          <t>当前不考虑自己接单，改为 N07</t>
        </is>
      </c>
    </row>
    <row r="10" ht="35" customHeight="1" s="23">
      <c r="A10" s="47" t="inlineStr">
        <is>
          <t>N06</t>
        </is>
      </c>
      <c r="B10" s="40" t="inlineStr">
        <is>
          <t>核对最新平台规范与合规细则</t>
        </is>
      </c>
      <c r="C10" s="40" t="inlineStr">
        <is>
          <t>开发前核对国内外平台的图片尺寸规范、亚马逊主图要求、欧盟 AI 法案的官方最新要求，必要时咨询律师</t>
        </is>
      </c>
      <c r="D10" s="42" t="inlineStr">
        <is>
          <t>T11、T19、T20</t>
        </is>
      </c>
      <c r="E10" s="46" t="inlineStr">
        <is>
          <t>未开始</t>
        </is>
      </c>
      <c r="F10" s="44" t="n"/>
      <c r="G10" s="44" t="inlineStr">
        <is>
          <t>核对清单见 docs/EcomCraft 平台预设槽位设计.zh-CN.md 第 4 节（F58 落地前完成）</t>
        </is>
      </c>
    </row>
    <row r="11" ht="35" customHeight="1" s="23">
      <c r="A11" s="47" t="inlineStr">
        <is>
          <t>N07</t>
        </is>
      </c>
      <c r="B11" s="40" t="inlineStr">
        <is>
          <t>种子团队试用</t>
        </is>
      </c>
      <c r="C11" s="40" t="inlineStr">
        <is>
          <t>MVP 发布后找 3–5 个电商团队试用，记录问题与需求，决定后续优先级</t>
        </is>
      </c>
      <c r="D11" s="42" t="inlineStr">
        <is>
          <t>获客与验证</t>
        </is>
      </c>
      <c r="E11" s="46" t="inlineStr">
        <is>
          <t>未开始</t>
        </is>
      </c>
      <c r="F11" s="44" t="n"/>
      <c r="G11" s="44" t="n"/>
    </row>
    <row r="12" ht="35" customHeight="1" s="23">
      <c r="A12" s="47" t="inlineStr">
        <is>
          <t>N08</t>
        </is>
      </c>
      <c r="B12" s="40" t="inlineStr">
        <is>
          <t>准备测试环境</t>
        </is>
      </c>
      <c r="C12" s="40" t="inlineStr">
        <is>
          <t>至少两台显卡电脑和一个 NAS 或共享文件夹，用于多机调度和存储实测</t>
        </is>
      </c>
      <c r="D12" s="42" t="inlineStr">
        <is>
          <t>T33、T37</t>
        </is>
      </c>
      <c r="E12" s="46" t="inlineStr">
        <is>
          <t>暂缓</t>
        </is>
      </c>
      <c r="F12" s="44" t="n"/>
      <c r="G12" s="44" t="inlineStr">
        <is>
          <t>2026-10-28 决策 A10：单服务器先行，测试环境暂缓，等客户提出多服务器需求再准备</t>
        </is>
      </c>
    </row>
    <row r="13" ht="35" customHeight="1" s="23">
      <c r="A13" s="47" t="inlineStr">
        <is>
          <t>N09</t>
        </is>
      </c>
      <c r="B13" s="40" t="inlineStr">
        <is>
          <t>确定主攻品类</t>
        </is>
      </c>
      <c r="C13" s="40" t="inlineStr">
        <is>
          <t>选 1 个品类作为 MVP 模板调优的重点，并填入“品类预设矩阵”</t>
        </is>
      </c>
      <c r="D13" s="42" t="inlineStr">
        <is>
          <t>T04、T06</t>
        </is>
      </c>
      <c r="E13" s="46" t="inlineStr">
        <is>
          <t>未开始</t>
        </is>
      </c>
      <c r="F13" s="44" t="n"/>
      <c r="G13" s="44" t="n"/>
    </row>
    <row r="14">
      <c r="A14" s="47" t="inlineStr">
        <is>
          <t>N10</t>
        </is>
      </c>
      <c r="B14" s="40" t="inlineStr">
        <is>
          <t>确定图生图方案（TODO）</t>
        </is>
      </c>
      <c r="C14" s="40" t="inlineStr">
        <is>
          <t>为需要参考商品图的模板（图生图、局部重绘、商品融合）选定可商用模型和工作流；当前默认模型只用于文生图</t>
        </is>
      </c>
      <c r="D14" s="42" t="inlineStr">
        <is>
          <t>T59 后续、T07 商品保真效果、T62</t>
        </is>
      </c>
      <c r="E14" s="46" t="inlineStr">
        <is>
          <t>未开始</t>
        </is>
      </c>
      <c r="F14" s="44" t="n"/>
      <c r="G14" s="44" t="inlineStr">
        <is>
          <t>2026-10-28 用户：图生图暂无好方案，先放待办</t>
        </is>
      </c>
    </row>
  </sheetData>
  <conditionalFormatting sqref="E5:E100">
    <cfRule type="expression" priority="1" dxfId="7">
      <formula>$E5="已完成"</formula>
    </cfRule>
    <cfRule type="expression" priority="2" dxfId="8">
      <formula>$E5="进行中"</formula>
    </cfRule>
  </conditionalFormatting>
  <dataValidations count="1">
    <dataValidation sqref="E5:E100" showDropDown="0" showInputMessage="0" showErrorMessage="0" allowBlank="1" type="list">
      <formula1>"未开始,进行中,已完成,暂缓"</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14"/>
  <sheetViews>
    <sheetView showFormulas="0" showGridLines="1"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22" customWidth="1" style="22" min="1" max="1"/>
    <col width="13" customWidth="1" style="22" min="2" max="2"/>
    <col width="22" customWidth="1" style="22" min="3" max="3"/>
    <col width="24" customWidth="1" style="22" min="4" max="4"/>
    <col width="46" customWidth="1" style="22" min="5" max="5"/>
    <col width="34" customWidth="1" style="22" min="6" max="6"/>
    <col width="40" customWidth="1" style="22" min="7" max="7"/>
    <col width="10" customWidth="1" style="22" min="8" max="8"/>
  </cols>
  <sheetData>
    <row r="1" ht="21.6" customHeight="1" s="23">
      <c r="A1" s="28" t="inlineStr">
        <is>
          <t>竞品分析（2026 年 10 月）</t>
        </is>
      </c>
    </row>
    <row r="2" ht="17.15" customHeight="1" s="23">
      <c r="A2" s="29" t="inlineStr">
        <is>
          <t>价格与功能来自公开资料，可能已变化；EcomGen、ecommerce-image-suite 数据来自第三方收录页。</t>
        </is>
      </c>
    </row>
    <row r="4" ht="17.15" customHeight="1" s="23">
      <c r="A4" s="30" t="inlineStr">
        <is>
          <t>竞品</t>
        </is>
      </c>
      <c r="B4" s="30" t="inlineStr">
        <is>
          <t>类型</t>
        </is>
      </c>
      <c r="C4" s="30" t="inlineStr">
        <is>
          <t>部署方式</t>
        </is>
      </c>
      <c r="D4" s="30" t="inlineStr">
        <is>
          <t>价格</t>
        </is>
      </c>
      <c r="E4" s="30" t="inlineStr">
        <is>
          <t>主要优势</t>
        </is>
      </c>
      <c r="F4" s="30" t="inlineStr">
        <is>
          <t>主要短板</t>
        </is>
      </c>
      <c r="G4" s="30" t="inlineStr">
        <is>
          <t>对我们的启示</t>
        </is>
      </c>
      <c r="H4" s="30" t="inlineStr">
        <is>
          <t>来源</t>
        </is>
      </c>
    </row>
    <row r="5" ht="48.5" customHeight="1" s="23">
      <c r="A5" s="39" t="inlineStr">
        <is>
          <t>ComfyUI App Mode / App Builder</t>
        </is>
      </c>
      <c r="B5" s="40" t="inlineStr">
        <is>
          <t>上游官方</t>
        </is>
      </c>
      <c r="C5" s="40" t="inlineStr">
        <is>
          <t>本地与 Comfy Cloud 均可</t>
        </is>
      </c>
      <c r="D5" s="40" t="inlineStr">
        <is>
          <t>免费（本地）</t>
        </is>
      </c>
      <c r="E5" s="40" t="inlineStr">
        <is>
          <t>官方出品、免费；一键把工作流变成只显示必要输入的简单界面；ComfyHub 社区共享应用；生态最大</t>
        </is>
      </c>
      <c r="F5" s="40" t="inlineStr">
        <is>
          <t>通用工具，没有电商专属能力（品类、品牌、批量 SKU、平台导出、合规、项目历史、团队审核）</t>
        </is>
      </c>
      <c r="G5" s="40" t="inlineStr">
        <is>
          <t>“给 ComfyUI 套简单界面”不再是卖点，必须靠电商专属功能区分；兼容其应用格式（F27）</t>
        </is>
      </c>
      <c r="H5" s="41" t="inlineStr">
        <is>
          <t>查看来源</t>
        </is>
      </c>
    </row>
    <row r="6" ht="48.5" customHeight="1" s="23">
      <c r="A6" s="39" t="inlineStr">
        <is>
          <t>EcomGen</t>
        </is>
      </c>
      <c r="B6" s="40" t="inlineStr">
        <is>
          <t>开源同类</t>
        </is>
      </c>
      <c r="C6" s="40" t="inlineStr">
        <is>
          <t>自托管，本地优先；生图调用 OpenAI 兼容或 Gemini 接口</t>
        </is>
      </c>
      <c r="D6" s="40" t="inlineStr">
        <is>
          <t>开源（许可未注明）</t>
        </is>
      </c>
      <c r="E6" s="40" t="inlineStr">
        <is>
          <t>面向个人卖家；25 个模板与可复用套图；商品像素保护；AI 分层导出 PNG/PSD；智能体生成分镜；审阅编辑与 ZIP 导出</t>
        </is>
      </c>
      <c r="F6" s="40" t="inlineStr">
        <is>
          <t>生图依赖外部接口，数据与成本仍在云端；未见团队权限与 ComfyUI 支持</t>
        </is>
      </c>
      <c r="G6" s="40" t="inlineStr">
        <is>
          <t>与 MVP-B（电商出图）高度重合，需加快；我们的差异是完全本地生成、局域网多机调度与团队协作；借鉴分镜与 PSD（F25、F26）</t>
        </is>
      </c>
      <c r="H6" s="41" t="inlineStr">
        <is>
          <t>查看来源</t>
        </is>
      </c>
    </row>
    <row r="7" ht="48.5" customHeight="1" s="23">
      <c r="A7" s="39" t="inlineStr">
        <is>
          <t>ecommerce-image-suite</t>
        </is>
      </c>
      <c r="B7" s="40" t="inlineStr">
        <is>
          <t>开源同类</t>
        </is>
      </c>
      <c r="C7" s="40" t="inlineStr">
        <is>
          <t>本地运行脚本，生图调用通义、豆包、OpenAI 等接口</t>
        </is>
      </c>
      <c r="D7" s="40" t="inlineStr">
        <is>
          <t>开源（许可状态不清）</t>
        </is>
      </c>
      <c r="E7" s="40" t="inlineStr">
        <is>
          <t>约 460 星；覆盖 9 类电商图（白底主图、材质特写、模特图、详情页等）；按国内外平台规格输出；商品图分析与卖点提炼</t>
        </is>
      </c>
      <c r="F7" s="40" t="inlineStr">
        <is>
          <t>命令行工具，无图形界面；必须有付费接口密钥</t>
        </is>
      </c>
      <c r="G7" s="40" t="inlineStr">
        <is>
          <t>说明“卖点分析 → 套图”需求真实存在；我们用本地模型 + 图形界面做得更易用</t>
        </is>
      </c>
      <c r="H7" s="41" t="inlineStr">
        <is>
          <t>查看来源</t>
        </is>
      </c>
    </row>
    <row r="8" ht="48.5" customHeight="1" s="23">
      <c r="A8" s="39" t="inlineStr">
        <is>
          <t>Invoke</t>
        </is>
      </c>
      <c r="B8" s="40" t="inlineStr">
        <is>
          <t>团队创作平台</t>
        </is>
      </c>
      <c r="C8" s="40" t="inlineStr">
        <is>
          <t>云端托管（开源社区版可本地）</t>
        </is>
      </c>
      <c r="D8" s="40" t="inlineStr">
        <is>
          <t>专业版 $79/月（年付）或 $99/月；企业版面议</t>
        </is>
      </c>
      <c r="E8" s="40" t="inlineStr">
        <is>
          <t>专业版提供多用户、基于角色的权限、共享图片/工作流/模型；企业版有 SSO 与定制工作流服务</t>
        </is>
      </c>
      <c r="F8" s="40" t="inlineStr">
        <is>
          <t>通用创意平台，非电商专用</t>
        </is>
      </c>
      <c r="G8" s="40" t="inlineStr">
        <is>
          <t>我们团队版定价与功能的直接参照（F11、F16）</t>
        </is>
      </c>
      <c r="H8" s="41" t="inlineStr">
        <is>
          <t>查看来源</t>
        </is>
      </c>
    </row>
    <row r="9" ht="64.15000000000001" customHeight="1" s="23">
      <c r="A9" s="39" t="inlineStr">
        <is>
          <t>Photoroom</t>
        </is>
      </c>
      <c r="B9" s="40" t="inlineStr">
        <is>
          <t>海外 SaaS</t>
        </is>
      </c>
      <c r="C9" s="40" t="inlineStr">
        <is>
          <t>云端</t>
        </is>
      </c>
      <c r="D9" s="42" t="inlineStr">
        <is>
          <t>Pro $7.99/月；Max $26.99/月；Ultra 约 $99/月起；API 约 $0.02–0.10/张</t>
        </is>
      </c>
      <c r="E9" s="40" t="inlineStr">
        <is>
          <t>价格低；批量编辑；1000+ 模板覆盖 Shopify、亚马逊与社媒尺寸；Shopify 直接发布与 SEO；手机端；API</t>
        </is>
      </c>
      <c r="F9" s="40" t="inlineStr">
        <is>
          <t>积分与批量上限使实际成本难预测；复杂或反光商品场景易显假；大团队一致性控制较弱</t>
        </is>
      </c>
      <c r="G9" s="40" t="inlineStr">
        <is>
          <t>小卖家价格战打不赢；我们强调高出图量、私有数据和品类一致性</t>
        </is>
      </c>
      <c r="H9" s="41" t="inlineStr">
        <is>
          <t>查看来源</t>
        </is>
      </c>
    </row>
    <row r="10" ht="48.5" customHeight="1" s="23">
      <c r="A10" s="39" t="inlineStr">
        <is>
          <t>Claid.ai</t>
        </is>
      </c>
      <c r="B10" s="40" t="inlineStr">
        <is>
          <t>海外 SaaS</t>
        </is>
      </c>
      <c r="C10" s="40" t="inlineStr">
        <is>
          <t>云端 + API</t>
        </is>
      </c>
      <c r="D10" s="40" t="inlineStr">
        <is>
          <t>按积分；企业面议</t>
        </is>
      </c>
      <c r="E10" s="40" t="inlineStr">
        <is>
          <t>面向目录级量产；API 可串联抠图、放大、生成背景、阴影、图转视频等；服装平铺转模特</t>
        </is>
      </c>
      <c r="F10" s="40" t="inlineStr">
        <is>
          <t>简单任务单价高于 Photoroom；深度定制需走销售</t>
        </is>
      </c>
      <c r="G10" s="40" t="inlineStr">
        <is>
          <t>大客户需要“流水线”能力：批量 + 一致性 + 可编排，这正是模板 + 品类预设 + 批量的方向</t>
        </is>
      </c>
      <c r="H10" s="41" t="inlineStr">
        <is>
          <t>查看来源</t>
        </is>
      </c>
    </row>
    <row r="11" ht="32.8" customHeight="1" s="23">
      <c r="A11" s="43" t="inlineStr">
        <is>
          <t>美图设计室</t>
        </is>
      </c>
      <c r="B11" s="40" t="inlineStr">
        <is>
          <t>国内 SaaS</t>
        </is>
      </c>
      <c r="C11" s="40" t="inlineStr">
        <is>
          <t>云端</t>
        </is>
      </c>
      <c r="D11" s="40" t="inlineStr">
        <is>
          <t>约 1.36 元/张（测评口径）</t>
        </is>
      </c>
      <c r="E11" s="40" t="inlineStr">
        <is>
          <t>零门槛、界面友好、功能全；出图快</t>
        </is>
      </c>
      <c r="F11" s="40" t="inlineStr">
        <is>
          <t>结果偏模板化、辨识度较低</t>
        </is>
      </c>
      <c r="G11" s="40" t="inlineStr">
        <is>
          <t>国内小卖家市场已被低价工具覆盖</t>
        </is>
      </c>
      <c r="H11" s="41" t="inlineStr">
        <is>
          <t>查看来源</t>
        </is>
      </c>
    </row>
    <row r="12" ht="32.8" customHeight="1" s="23">
      <c r="A12" s="39" t="inlineStr">
        <is>
          <t>LinkFox</t>
        </is>
      </c>
      <c r="B12" s="40" t="inlineStr">
        <is>
          <t>国内 SaaS</t>
        </is>
      </c>
      <c r="C12" s="40" t="inlineStr">
        <is>
          <t>云端</t>
        </is>
      </c>
      <c r="D12" s="40" t="inlineStr">
        <is>
          <t>测评未给出</t>
        </is>
      </c>
      <c r="E12" s="40" t="inlineStr">
        <is>
          <t>对话式生图；商品库批量管理；适合跨境大批量</t>
        </is>
      </c>
      <c r="F12" s="40" t="inlineStr">
        <is>
          <t>生成较慢；偏跨境</t>
        </is>
      </c>
      <c r="G12" s="40" t="inlineStr">
        <is>
          <t>“商品库 + 批量管理”是大批量用户刚需，对应项目归档（F04）</t>
        </is>
      </c>
      <c r="H12" s="41" t="inlineStr">
        <is>
          <t>查看来源</t>
        </is>
      </c>
    </row>
    <row r="13" ht="32.8" customHeight="1" s="23">
      <c r="A13" s="43" t="inlineStr">
        <is>
          <t>绘蛙</t>
        </is>
      </c>
      <c r="B13" s="40" t="inlineStr">
        <is>
          <t>国内 SaaS（阿里系）</t>
        </is>
      </c>
      <c r="C13" s="40" t="inlineStr">
        <is>
          <t>云端</t>
        </is>
      </c>
      <c r="D13" s="40" t="inlineStr">
        <is>
          <t>限时免费（测评时）</t>
        </is>
      </c>
      <c r="E13" s="40" t="inlineStr">
        <is>
          <t>一次生成十张以上详情套图；参考图风格模板减少调提示词；面料质感保持好</t>
        </is>
      </c>
      <c r="F13" s="40" t="inlineStr">
        <is>
          <t>菜单入口多，上手需时间</t>
        </is>
      </c>
      <c r="G13" s="40" t="inlineStr">
        <is>
          <t>“参考图定风格”验证了品牌资料包思路（F12）</t>
        </is>
      </c>
      <c r="H13" s="41" t="inlineStr">
        <is>
          <t>查看来源</t>
        </is>
      </c>
    </row>
    <row r="14" ht="32.8" customHeight="1" s="23">
      <c r="A14" s="43" t="inlineStr">
        <is>
          <t>潮际好麦</t>
        </is>
      </c>
      <c r="B14" s="40" t="inlineStr">
        <is>
          <t>国内 SaaS</t>
        </is>
      </c>
      <c r="C14" s="40" t="inlineStr">
        <is>
          <t>云端</t>
        </is>
      </c>
      <c r="D14" s="40" t="inlineStr">
        <is>
          <t>约 1.4 元/张（测评口径）</t>
        </is>
      </c>
      <c r="E14" s="40" t="inlineStr">
        <is>
          <t>服装模特图有特色；自动生成营销主题句</t>
        </is>
      </c>
      <c r="F14" s="40" t="inlineStr">
        <is>
          <t>出图数量少；非服装品类较弱</t>
        </is>
      </c>
      <c r="G14" s="40" t="inlineStr">
        <is>
          <t>垂直品类做深也能立足；可考虑先主攻一两个品类</t>
        </is>
      </c>
      <c r="H14" s="41" t="inlineStr">
        <is>
          <t>查看来源</t>
        </is>
      </c>
    </row>
  </sheetData>
  <hyperlinks>
    <hyperlink xmlns:r="http://schemas.openxmlformats.org/officeDocument/2006/relationships" ref="H5" display="查看来源" r:id="rId1"/>
    <hyperlink xmlns:r="http://schemas.openxmlformats.org/officeDocument/2006/relationships" ref="H6" display="查看来源" r:id="rId2"/>
    <hyperlink xmlns:r="http://schemas.openxmlformats.org/officeDocument/2006/relationships" ref="H7" display="查看来源" r:id="rId3"/>
    <hyperlink xmlns:r="http://schemas.openxmlformats.org/officeDocument/2006/relationships" ref="H8" display="查看来源" r:id="rId4"/>
    <hyperlink xmlns:r="http://schemas.openxmlformats.org/officeDocument/2006/relationships" ref="H9" display="查看来源" r:id="rId5"/>
    <hyperlink xmlns:r="http://schemas.openxmlformats.org/officeDocument/2006/relationships" ref="H10" display="查看来源" r:id="rId6"/>
    <hyperlink xmlns:r="http://schemas.openxmlformats.org/officeDocument/2006/relationships" ref="H11" display="查看来源" r:id="rId7"/>
    <hyperlink xmlns:r="http://schemas.openxmlformats.org/officeDocument/2006/relationships" ref="H12" display="查看来源" r:id="rId8"/>
    <hyperlink xmlns:r="http://schemas.openxmlformats.org/officeDocument/2006/relationships" ref="H13" display="查看来源" r:id="rId9"/>
    <hyperlink xmlns:r="http://schemas.openxmlformats.org/officeDocument/2006/relationships" ref="H14" display="查看来源" r:id="rId1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2" customWidth="1" style="22" min="1" max="1"/>
    <col width="18" customWidth="1" style="22" min="2" max="2"/>
    <col width="30" customWidth="1" style="22" min="3" max="3"/>
    <col width="10" customWidth="1" style="22" min="4" max="5"/>
    <col width="24" customWidth="1" style="22" min="6" max="6"/>
  </cols>
  <sheetData>
    <row r="1" ht="21.6" customHeight="1" s="23">
      <c r="A1" s="28" t="inlineStr">
        <is>
          <t>模板测试商品集（目标约 30 个）</t>
        </is>
      </c>
    </row>
    <row r="2" ht="17.15" customHeight="1" s="23">
      <c r="A2" s="29" t="inlineStr">
        <is>
          <t>先在主攻品类收集约 15 个（N03、N09），再按四类难点扩充到约 30 个；合计与进度自动计算。</t>
        </is>
      </c>
    </row>
    <row r="4" ht="17.15" customHeight="1" s="23">
      <c r="A4" s="30" t="inlineStr">
        <is>
          <t>难点类型</t>
        </is>
      </c>
      <c r="B4" s="30" t="inlineStr">
        <is>
          <t>示例商品</t>
        </is>
      </c>
      <c r="C4" s="30" t="inlineStr">
        <is>
          <t>为什么难</t>
        </is>
      </c>
      <c r="D4" s="30" t="inlineStr">
        <is>
          <t>计划数量</t>
        </is>
      </c>
      <c r="E4" s="30" t="inlineStr">
        <is>
          <t>已收集</t>
        </is>
      </c>
      <c r="F4" s="30" t="inlineStr">
        <is>
          <t>备注</t>
        </is>
      </c>
    </row>
    <row r="5" ht="17.15" customHeight="1" s="23">
      <c r="A5" s="40" t="inlineStr">
        <is>
          <t>反光</t>
        </is>
      </c>
      <c r="B5" s="40" t="inlineStr">
        <is>
          <t>首饰、电器</t>
        </is>
      </c>
      <c r="C5" s="40" t="inlineStr">
        <is>
          <t>高光与倒影容易被 AI 改坏</t>
        </is>
      </c>
      <c r="D5" s="44" t="n">
        <v>8</v>
      </c>
      <c r="E5" s="44" t="n">
        <v>0</v>
      </c>
      <c r="F5" s="44" t="n"/>
    </row>
    <row r="6" ht="17.15" customHeight="1" s="23">
      <c r="A6" s="40" t="inlineStr">
        <is>
          <t>透明</t>
        </is>
      </c>
      <c r="B6" s="40" t="inlineStr">
        <is>
          <t>玻璃瓶、香水</t>
        </is>
      </c>
      <c r="C6" s="40" t="inlineStr">
        <is>
          <t>透光与背景融合难以保真</t>
        </is>
      </c>
      <c r="D6" s="44" t="n">
        <v>8</v>
      </c>
      <c r="E6" s="44" t="n">
        <v>0</v>
      </c>
      <c r="F6" s="44" t="n"/>
    </row>
    <row r="7" ht="17.15" customHeight="1" s="23">
      <c r="A7" s="40" t="inlineStr">
        <is>
          <t>带文字</t>
        </is>
      </c>
      <c r="B7" s="40" t="inlineStr">
        <is>
          <t>包装盒</t>
        </is>
      </c>
      <c r="C7" s="40" t="inlineStr">
        <is>
          <t>文字和 Logo 容易被重绘变形</t>
        </is>
      </c>
      <c r="D7" s="44" t="n">
        <v>8</v>
      </c>
      <c r="E7" s="44" t="n">
        <v>0</v>
      </c>
      <c r="F7" s="44" t="n"/>
    </row>
    <row r="8" ht="17.15" customHeight="1" s="23">
      <c r="A8" s="40" t="inlineStr">
        <is>
          <t>软质</t>
        </is>
      </c>
      <c r="B8" s="40" t="inlineStr">
        <is>
          <t>衣服、包</t>
        </is>
      </c>
      <c r="C8" s="40" t="inlineStr">
        <is>
          <t>形状易被改动，褶皱不自然</t>
        </is>
      </c>
      <c r="D8" s="44" t="n">
        <v>6</v>
      </c>
      <c r="E8" s="44" t="n">
        <v>0</v>
      </c>
      <c r="F8" s="44" t="n"/>
    </row>
    <row r="9" ht="17.15" customHeight="1" s="23">
      <c r="A9" s="43" t="inlineStr">
        <is>
          <t>合计</t>
        </is>
      </c>
      <c r="D9" s="43">
        <f>SUM(D5:D8)</f>
        <v/>
      </c>
      <c r="E9" s="43">
        <f>SUM(E5:E8)</f>
        <v/>
      </c>
    </row>
    <row r="10" ht="17.15" customHeight="1" s="23">
      <c r="A10" s="43" t="inlineStr">
        <is>
          <t>收集进度</t>
        </is>
      </c>
      <c r="E10" s="45">
        <f>IF(D9=0,0,E9/D9)</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H1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6" customWidth="1" style="22" min="1" max="1"/>
    <col width="11" customWidth="1" style="22" min="2" max="7"/>
    <col width="9" customWidth="1" style="22" min="8" max="8"/>
  </cols>
  <sheetData>
    <row r="1" ht="21.6" customHeight="1" s="23">
      <c r="A1" s="28" t="inlineStr">
        <is>
          <t>模板 × 品类预设进度</t>
        </is>
      </c>
    </row>
    <row r="2" ht="17.15" customHeight="1" s="23">
      <c r="A2" s="29" t="inlineStr">
        <is>
          <t>每格从下拉选择进度；“待定”请改成你主攻的品类（N09）。MVP 先只调主攻品类，品类预设机制（F19）在 MVP 之后开发。</t>
        </is>
      </c>
    </row>
    <row r="4" ht="17.15" customHeight="1" s="23">
      <c r="A4" s="30" t="inlineStr">
        <is>
          <t>模板 \ 品类</t>
        </is>
      </c>
      <c r="B4" s="30" t="inlineStr">
        <is>
          <t>首饰</t>
        </is>
      </c>
      <c r="C4" s="30" t="inlineStr">
        <is>
          <t>化妆品</t>
        </is>
      </c>
      <c r="D4" s="30" t="inlineStr">
        <is>
          <t>服装</t>
        </is>
      </c>
      <c r="E4" s="30" t="inlineStr">
        <is>
          <t>电子产品</t>
        </is>
      </c>
      <c r="F4" s="30" t="inlineStr">
        <is>
          <t>（待定）</t>
        </is>
      </c>
      <c r="G4" s="30" t="inlineStr">
        <is>
          <t>（待定）</t>
        </is>
      </c>
      <c r="H4" s="30" t="inlineStr">
        <is>
          <t>已调好</t>
        </is>
      </c>
    </row>
    <row r="5" ht="17.15" customHeight="1" s="23">
      <c r="A5" s="43" t="inlineStr">
        <is>
          <t>白底主图</t>
        </is>
      </c>
      <c r="B5" s="46" t="inlineStr">
        <is>
          <t>未开始</t>
        </is>
      </c>
      <c r="C5" s="46" t="inlineStr">
        <is>
          <t>未开始</t>
        </is>
      </c>
      <c r="D5" s="46" t="inlineStr">
        <is>
          <t>未开始</t>
        </is>
      </c>
      <c r="E5" s="46" t="inlineStr">
        <is>
          <t>未开始</t>
        </is>
      </c>
      <c r="F5" s="46" t="inlineStr">
        <is>
          <t>未开始</t>
        </is>
      </c>
      <c r="G5" s="46" t="inlineStr">
        <is>
          <t>未开始</t>
        </is>
      </c>
      <c r="H5" s="47">
        <f>COUNTIF(B5:G5,"已调好")</f>
        <v/>
      </c>
    </row>
    <row r="6" ht="17.15" customHeight="1" s="23">
      <c r="A6" s="43" t="inlineStr">
        <is>
          <t>场景图</t>
        </is>
      </c>
      <c r="B6" s="46" t="inlineStr">
        <is>
          <t>未开始</t>
        </is>
      </c>
      <c r="C6" s="46" t="inlineStr">
        <is>
          <t>未开始</t>
        </is>
      </c>
      <c r="D6" s="46" t="inlineStr">
        <is>
          <t>未开始</t>
        </is>
      </c>
      <c r="E6" s="46" t="inlineStr">
        <is>
          <t>未开始</t>
        </is>
      </c>
      <c r="F6" s="46" t="inlineStr">
        <is>
          <t>未开始</t>
        </is>
      </c>
      <c r="G6" s="46" t="inlineStr">
        <is>
          <t>未开始</t>
        </is>
      </c>
      <c r="H6" s="47">
        <f>COUNTIF(B6:G6,"已调好")</f>
        <v/>
      </c>
    </row>
    <row r="7" ht="17.15" customHeight="1" s="23">
      <c r="A7" s="43" t="inlineStr">
        <is>
          <t>细节图</t>
        </is>
      </c>
      <c r="B7" s="46" t="inlineStr">
        <is>
          <t>未开始</t>
        </is>
      </c>
      <c r="C7" s="46" t="inlineStr">
        <is>
          <t>未开始</t>
        </is>
      </c>
      <c r="D7" s="46" t="inlineStr">
        <is>
          <t>未开始</t>
        </is>
      </c>
      <c r="E7" s="46" t="inlineStr">
        <is>
          <t>未开始</t>
        </is>
      </c>
      <c r="F7" s="46" t="inlineStr">
        <is>
          <t>未开始</t>
        </is>
      </c>
      <c r="G7" s="46" t="inlineStr">
        <is>
          <t>未开始</t>
        </is>
      </c>
      <c r="H7" s="47">
        <f>COUNTIF(B7:G7,"已调好")</f>
        <v/>
      </c>
    </row>
    <row r="8" ht="17.15" customHeight="1" s="23">
      <c r="A8" s="43" t="inlineStr">
        <is>
          <t>模特或手持图</t>
        </is>
      </c>
      <c r="B8" s="46" t="inlineStr">
        <is>
          <t>未开始</t>
        </is>
      </c>
      <c r="C8" s="46" t="inlineStr">
        <is>
          <t>未开始</t>
        </is>
      </c>
      <c r="D8" s="46" t="inlineStr">
        <is>
          <t>未开始</t>
        </is>
      </c>
      <c r="E8" s="46" t="inlineStr">
        <is>
          <t>未开始</t>
        </is>
      </c>
      <c r="F8" s="46" t="inlineStr">
        <is>
          <t>未开始</t>
        </is>
      </c>
      <c r="G8" s="46" t="inlineStr">
        <is>
          <t>未开始</t>
        </is>
      </c>
      <c r="H8" s="47">
        <f>COUNTIF(B8:G8,"已调好")</f>
        <v/>
      </c>
    </row>
    <row r="9" ht="17.15" customHeight="1" s="23">
      <c r="A9" s="43" t="inlineStr">
        <is>
          <t>商品展示视频（后续）</t>
        </is>
      </c>
      <c r="B9" s="46" t="inlineStr">
        <is>
          <t>未开始</t>
        </is>
      </c>
      <c r="C9" s="46" t="inlineStr">
        <is>
          <t>未开始</t>
        </is>
      </c>
      <c r="D9" s="46" t="inlineStr">
        <is>
          <t>未开始</t>
        </is>
      </c>
      <c r="E9" s="46" t="inlineStr">
        <is>
          <t>未开始</t>
        </is>
      </c>
      <c r="F9" s="46" t="inlineStr">
        <is>
          <t>未开始</t>
        </is>
      </c>
      <c r="G9" s="46" t="inlineStr">
        <is>
          <t>未开始</t>
        </is>
      </c>
      <c r="H9" s="47">
        <f>COUNTIF(B9:G9,"已调好")</f>
        <v/>
      </c>
    </row>
    <row r="10" ht="17.15" customHeight="1" s="23">
      <c r="A10" s="43" t="inlineStr">
        <is>
          <t>合计</t>
        </is>
      </c>
      <c r="H10" s="51">
        <f>SUM(H5:H9)</f>
        <v/>
      </c>
    </row>
    <row r="11" ht="17.15" customHeight="1" s="23">
      <c r="A11" s="43" t="inlineStr">
        <is>
          <t>完成率</t>
        </is>
      </c>
      <c r="H11" s="52">
        <f>H10/30</f>
        <v/>
      </c>
    </row>
  </sheetData>
  <conditionalFormatting sqref="B5:G9">
    <cfRule type="expression" rank="0" priority="2" equalAverage="0" aboveAverage="0" dxfId="5" text="" percent="0" bottom="0">
      <formula>B5="已调好"</formula>
    </cfRule>
    <cfRule type="expression" rank="0" priority="3" equalAverage="0" aboveAverage="0" dxfId="6" text="" percent="0" bottom="0">
      <formula>B5="测试中"</formula>
    </cfRule>
  </conditionalFormatting>
  <dataValidations count="1">
    <dataValidation sqref="B5:G9" showDropDown="0" showInputMessage="0" showErrorMessage="0" allowBlank="0" type="list" errorStyle="stop" operator="between">
      <formula1>"未开始,测试中,已调好,不适用"</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22" min="1" max="1"/>
    <col width="8" customWidth="1" style="22" min="2" max="2"/>
    <col width="10" customWidth="1" style="22" min="3" max="6"/>
    <col width="36" customWidth="1" style="22" min="7" max="7"/>
  </cols>
  <sheetData>
    <row r="1" ht="17.35" customHeight="1" s="23">
      <c r="A1" s="28" t="inlineStr">
        <is>
          <t>阶段汇总</t>
        </is>
      </c>
    </row>
    <row r="2" ht="15" customHeight="1" s="23">
      <c r="A2" s="29" t="inlineStr">
        <is>
          <t>全部自动计算。</t>
        </is>
      </c>
    </row>
    <row r="4" ht="32.8" customHeight="1" s="23">
      <c r="A4" s="30" t="inlineStr">
        <is>
          <t>阶段</t>
        </is>
      </c>
      <c r="B4" s="30" t="inlineStr">
        <is>
          <t>功能数</t>
        </is>
      </c>
      <c r="C4" s="30" t="inlineStr">
        <is>
          <t>开发任务数</t>
        </is>
      </c>
      <c r="D4" s="30" t="inlineStr">
        <is>
          <t>已完成任务</t>
        </is>
      </c>
      <c r="E4" s="30" t="inlineStr">
        <is>
          <t>进行中任务</t>
        </is>
      </c>
      <c r="F4" s="30" t="inlineStr">
        <is>
          <t>任务完成率</t>
        </is>
      </c>
      <c r="G4" s="30" t="inlineStr">
        <is>
          <t>收入来源</t>
        </is>
      </c>
    </row>
    <row r="5" ht="35" customHeight="1" s="23">
      <c r="A5" s="43" t="inlineStr">
        <is>
          <t>MVP-A：平台底座</t>
        </is>
      </c>
      <c r="B5" s="47">
        <f>COUNTIF(功能总表!$B$5:$B$200,A5)</f>
        <v/>
      </c>
      <c r="C5" s="47">
        <f>COUNTIF(开发任务!$C$5:$C$200,A5)</f>
        <v/>
      </c>
      <c r="D5" s="47">
        <f>COUNTIFS(开发任务!$C$5:$C$200,A5,开发任务!$L$5:$L$200,"已完成")</f>
        <v/>
      </c>
      <c r="E5" s="47">
        <f>COUNTIFS(开发任务!$C$5:$C$200,A5,开发任务!$L$5:$L$200,"进行中")</f>
        <v/>
      </c>
      <c r="F5" s="50">
        <f>IF(C5=0,0,D5/C5)</f>
        <v/>
      </c>
      <c r="G5" s="40" t="inlineStr">
        <is>
          <t>部署安装服务（一台或多台显卡电脑 + 局域网访问）</t>
        </is>
      </c>
    </row>
    <row r="6" ht="35" customHeight="1" s="23">
      <c r="A6" s="43" t="inlineStr">
        <is>
          <t>MVP-B：电商出图</t>
        </is>
      </c>
      <c r="B6" s="47">
        <f>COUNTIF(功能总表!$B$5:$B$200,A6)</f>
        <v/>
      </c>
      <c r="C6" s="47">
        <f>COUNTIF(开发任务!$C$5:$C$200,A6)</f>
        <v/>
      </c>
      <c r="D6" s="47">
        <f>COUNTIFS(开发任务!$C$5:$C$200,A6,开发任务!$L$5:$L$200,"已完成")</f>
        <v/>
      </c>
      <c r="E6" s="47">
        <f>COUNTIFS(开发任务!$C$5:$C$200,A6,开发任务!$L$5:$L$200,"进行中")</f>
        <v/>
      </c>
      <c r="F6" s="50">
        <f>IF(C6=0,0,D6/C6)</f>
        <v/>
      </c>
      <c r="G6" s="40" t="inlineStr">
        <is>
          <t>部署安装服务；种子团队试用（N07）</t>
        </is>
      </c>
    </row>
    <row r="7" ht="19.5" customHeight="1" s="23">
      <c r="A7" s="43" t="inlineStr">
        <is>
          <t>MVP-C：易用与运维</t>
        </is>
      </c>
      <c r="B7" s="47">
        <f>COUNTIF(功能总表!$B$5:$B$200,A7)</f>
        <v/>
      </c>
      <c r="C7" s="47">
        <f>COUNTIF(开发任务!$C$5:$C$200,A7)</f>
        <v/>
      </c>
      <c r="D7" s="47">
        <f>COUNTIFS(开发任务!$C$5:$C$200,A7,开发任务!$L$5:$L$200,"已完成")</f>
        <v/>
      </c>
      <c r="E7" s="47">
        <f>COUNTIFS(开发任务!$C$5:$C$200,A7,开发任务!$L$5:$L$200,"进行中")</f>
        <v/>
      </c>
      <c r="F7" s="50">
        <f>IF(C7=0,0,D7/C7)</f>
        <v/>
      </c>
      <c r="G7" s="40" t="inlineStr">
        <is>
          <t>部署安装服务、技术支持</t>
        </is>
      </c>
    </row>
    <row r="8" ht="19.5" customHeight="1" s="23">
      <c r="A8" s="43" t="inlineStr">
        <is>
          <t>后续：功能增强</t>
        </is>
      </c>
      <c r="B8" s="47">
        <f>COUNTIF(功能总表!$B$5:$B$200,A8)</f>
        <v/>
      </c>
      <c r="C8" s="47">
        <f>COUNTIF(开发任务!$C$5:$C$200,A8)</f>
        <v/>
      </c>
      <c r="D8" s="47">
        <f>COUNTIFS(开发任务!$C$5:$C$200,A8,开发任务!$L$5:$L$200,"已完成")</f>
        <v/>
      </c>
      <c r="E8" s="47">
        <f>COUNTIFS(开发任务!$C$5:$C$200,A8,开发任务!$L$5:$L$200,"进行中")</f>
        <v/>
      </c>
      <c r="F8" s="50">
        <f>IF(C8=0,0,D8/C8)</f>
        <v/>
      </c>
      <c r="G8" s="40" t="inlineStr">
        <is>
          <t>付费模板包、定制服务</t>
        </is>
      </c>
    </row>
    <row r="9" ht="19.5" customHeight="1" s="23">
      <c r="A9" s="43" t="inlineStr">
        <is>
          <t>后续：团队与商业化</t>
        </is>
      </c>
      <c r="B9" s="47">
        <f>COUNTIF(功能总表!$B$5:$B$200,A9)</f>
        <v/>
      </c>
      <c r="C9" s="47">
        <f>COUNTIF(开发任务!$C$5:$C$200,A9)</f>
        <v/>
      </c>
      <c r="D9" s="47">
        <f>COUNTIFS(开发任务!$C$5:$C$200,A9,开发任务!$L$5:$L$200,"已完成")</f>
        <v/>
      </c>
      <c r="E9" s="47">
        <f>COUNTIFS(开发任务!$C$5:$C$200,A9,开发任务!$L$5:$L$200,"进行中")</f>
        <v/>
      </c>
      <c r="F9" s="50">
        <f>IF(C9=0,0,D9/C9)</f>
        <v/>
      </c>
      <c r="G9" s="40" t="inlineStr">
        <is>
          <t>团队版年费授权</t>
        </is>
      </c>
    </row>
    <row r="10" ht="19.5" customHeight="1" s="23">
      <c r="A10" s="43" t="inlineStr">
        <is>
          <t>预留：云端与定制</t>
        </is>
      </c>
      <c r="B10" s="47">
        <f>COUNTIF(功能总表!$B$5:$B$200,A10)</f>
        <v/>
      </c>
      <c r="C10" s="47">
        <f>COUNTIF(开发任务!$C$5:$C$200,A10)</f>
        <v/>
      </c>
      <c r="D10" s="47">
        <f>COUNTIFS(开发任务!$C$5:$C$200,A10,开发任务!$L$5:$L$200,"已完成")</f>
        <v/>
      </c>
      <c r="E10" s="47">
        <f>COUNTIFS(开发任务!$C$5:$C$200,A10,开发任务!$L$5:$L$200,"进行中")</f>
        <v/>
      </c>
      <c r="F10" s="50">
        <f>IF(C10=0,0,D10/C10)</f>
        <v/>
      </c>
      <c r="G10" s="40" t="inlineStr">
        <is>
          <t>云端额度、品牌模型训练</t>
        </is>
      </c>
    </row>
    <row r="11" ht="17.15" customHeight="1" s="23">
      <c r="A11" s="43" t="inlineStr">
        <is>
          <t>合计</t>
        </is>
      </c>
      <c r="B11" s="51">
        <f>SUM(B5:B10)</f>
        <v/>
      </c>
      <c r="C11" s="51">
        <f>SUM(C5:C10)</f>
        <v/>
      </c>
      <c r="D11" s="51">
        <f>SUM(D5:D10)</f>
        <v/>
      </c>
      <c r="E11" s="51">
        <f>SUM(E5:E10)</f>
        <v/>
      </c>
      <c r="F11" s="52">
        <f>IF(C11=0,0,D11/C11)</f>
        <v/>
      </c>
    </row>
    <row r="12" ht="17.15" customHeight="1" s="23">
      <c r="A12" s="43" t="inlineStr">
        <is>
          <t>其中 MVP（A + B + C）</t>
        </is>
      </c>
      <c r="B12" s="51">
        <f>SUM(B5:B7)</f>
        <v/>
      </c>
      <c r="C12" s="51">
        <f>SUM(C5:C7)</f>
        <v/>
      </c>
      <c r="D12" s="51">
        <f>SUM(D5:D7)</f>
        <v/>
      </c>
      <c r="E12" s="51">
        <f>SUM(E5:E7)</f>
        <v/>
      </c>
      <c r="F12" s="52">
        <f>IF(C12=0,0,D12/C12)</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B1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22" min="1" max="1"/>
    <col width="60" customWidth="1" style="22" min="2" max="2"/>
  </cols>
  <sheetData>
    <row r="1" ht="17.35" customHeight="1" s="23">
      <c r="A1" s="28" t="inlineStr">
        <is>
          <t>明确先不做的事</t>
        </is>
      </c>
    </row>
    <row r="2" ht="15" customHeight="1" s="23">
      <c r="A2" s="29" t="n"/>
    </row>
    <row r="4" ht="17.15" customHeight="1" s="23">
      <c r="A4" s="30" t="inlineStr">
        <is>
          <t>事项</t>
        </is>
      </c>
      <c r="B4" s="30" t="inlineStr">
        <is>
          <t>原因</t>
        </is>
      </c>
    </row>
    <row r="5" ht="19.5" customHeight="1" s="23">
      <c r="A5" s="40" t="inlineStr">
        <is>
          <t>面向小卖家的公开 SaaS</t>
        </is>
      </c>
      <c r="B5" s="40" t="inlineStr">
        <is>
          <t>不与 Photoroom、美图等成熟产品正面竞争</t>
        </is>
      </c>
    </row>
    <row r="6" ht="35" customHeight="1" s="23">
      <c r="A6" s="40" t="inlineStr">
        <is>
          <t>积分和在线支付系统</t>
        </is>
      </c>
      <c r="B6" s="40" t="inlineStr">
        <is>
          <t>按软件销售、按账号数收费（A12）；将来云端额度先用团队预算和每人额度管理</t>
        </is>
      </c>
    </row>
    <row r="7" ht="35" customHeight="1" s="23">
      <c r="A7" s="40" t="inlineStr">
        <is>
          <t>水印预览等 SaaS 式限制</t>
        </is>
      </c>
      <c r="B7" s="40" t="inlineStr">
        <is>
          <t>本地工具没有这个需求，反而会损害开源版口碑</t>
        </is>
      </c>
    </row>
    <row r="8" ht="19.5" customHeight="1" s="23">
      <c r="A8" s="40" t="inlineStr">
        <is>
          <t>为每个客户单独搭工作流</t>
        </is>
      </c>
      <c r="B8" s="40" t="inlineStr">
        <is>
          <t>客户差异放进品类预设与品牌资料包，超出标准的作为付费定制</t>
        </is>
      </c>
    </row>
    <row r="9" ht="35" customHeight="1" s="23">
      <c r="A9" s="40" t="inlineStr">
        <is>
          <t>MVP 阶段的云端生成</t>
        </is>
      </c>
      <c r="B9" s="40" t="inlineStr">
        <is>
          <t>保留执行方抽象和三段式流程；修订 AGENTS.md 规则并确认后再开发（F18）</t>
        </is>
      </c>
    </row>
    <row r="10" ht="19.5" customHeight="1" s="23">
      <c r="A10" s="40" t="inlineStr">
        <is>
          <t>自己接单验证需求</t>
        </is>
      </c>
      <c r="B10" s="40" t="inlineStr">
        <is>
          <t>当前不考虑；改为 MVP 发布后找种子团队试用（N07）</t>
        </is>
      </c>
    </row>
    <row r="11" ht="19.5" customHeight="1" s="23">
      <c r="A11" s="40" t="inlineStr">
        <is>
          <t>复杂的角色与权限体系、按功能分级收费</t>
        </is>
      </c>
      <c r="B11" s="40" t="inlineStr">
        <is>
          <t>按账号数收费即可（A12）；账号只分管理员和普通账号，任何账号都可用专业模式（A2）</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2026-10-27T11:51:25Z</dcterms:created>
  <dcterms:modified xsi:type="dcterms:W3CDTF">2026-10-29T08:23:21Z</dcterms:modified>
  <cp:revision>0</cp:revision>
</cp:coreProperties>
</file>