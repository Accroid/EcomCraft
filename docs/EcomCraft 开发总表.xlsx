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使用说明" sheetId="1" state="visible" r:id="rId1"/>
    <sheet name="功能总表" sheetId="2" state="visible" r:id="rId2"/>
    <sheet name="开发任务" sheetId="3" state="visible" r:id="rId3"/>
    <sheet name="非开发事项" sheetId="4" state="visible" r:id="rId4"/>
    <sheet name="竞品分析" sheetId="5" state="visible" r:id="rId5"/>
    <sheet name="测试商品集" sheetId="6" state="visible" r:id="rId6"/>
    <sheet name="品类预设矩阵" sheetId="7" state="visible" r:id="rId7"/>
    <sheet name="阶段汇总" sheetId="8" state="visible" r:id="rId8"/>
    <sheet name="暂不做" sheetId="9" state="visible" r:id="rId9"/>
  </sheets>
  <definedNames>
    <definedName name="_xlnm._FilterDatabase" localSheetId="1" hidden="1">'功能总表'!$A$4:$M$31</definedName>
    <definedName name="_xlnm._FilterDatabase" localSheetId="2" hidden="1">'开发任务'!$A$4:$N$37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Noto Sans CJK SC"/>
      <family val="2"/>
      <b val="1"/>
      <sz val="14"/>
    </font>
    <font>
      <name val="Noto Sans CJK SC"/>
      <family val="2"/>
      <b val="1"/>
      <color rgb="FF1F4E78"/>
      <sz val="12"/>
    </font>
    <font>
      <name val="Noto Sans CJK SC"/>
      <family val="2"/>
      <b val="1"/>
      <sz val="11"/>
    </font>
    <font>
      <name val="Arial"/>
      <charset val="1"/>
      <family val="0"/>
      <sz val="11"/>
    </font>
    <font>
      <name val="Noto Sans CJK SC"/>
      <family val="2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F4E78"/>
      <sz val="12"/>
    </font>
    <font>
      <name val="Noto Sans CJK SC"/>
      <family val="2"/>
      <i val="1"/>
      <color rgb="FF595959"/>
      <sz val="11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C00000"/>
      <sz val="11"/>
    </font>
    <font>
      <name val="Arial"/>
      <charset val="1"/>
      <family val="0"/>
      <i val="1"/>
      <color rgb="FF595959"/>
      <sz val="11"/>
    </font>
    <font>
      <name val="Noto Sans CJK SC"/>
      <family val="2"/>
      <color rgb="FF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4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top" wrapText="1"/>
    </xf>
    <xf numFmtId="164" fontId="8" fillId="3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top" wrapText="1"/>
    </xf>
    <xf numFmtId="9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top" wrapText="1"/>
    </xf>
    <xf numFmtId="9" fontId="10" fillId="0" borderId="1" applyAlignment="1" pivotButton="0" quotePrefix="0" xfId="0">
      <alignment horizontal="center" vertical="top" wrapText="1"/>
    </xf>
    <xf numFmtId="9" fontId="8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top" wrapText="1"/>
    </xf>
    <xf numFmtId="164" fontId="8" fillId="3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9" fontId="10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9" fontId="10" fillId="0" borderId="1" applyAlignment="1" pivotButton="0" quotePrefix="0" xfId="0">
      <alignment horizontal="center" vertical="top" wrapText="1"/>
    </xf>
    <xf numFmtId="9" fontId="8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9" fontId="10" fillId="0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5700"/>
      </font>
      <fill>
        <patternFill patternType="solid">
          <f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hyperlink" Target="https://blog.comfy.org/p/from-workflow-to-app-introducing" TargetMode="External" Id="rId1" /><Relationship Type="http://schemas.openxmlformats.org/officeDocument/2006/relationships/hyperlink" Target="https://skillsllm.com/skill/ecomgen" TargetMode="External" Id="rId2" /><Relationship Type="http://schemas.openxmlformats.org/officeDocument/2006/relationships/hyperlink" Target="https://gittrend.io/repo/wzj177/ecommerce-image-suite" TargetMode="External" Id="rId3" /><Relationship Type="http://schemas.openxmlformats.org/officeDocument/2006/relationships/hyperlink" Target="https://support.invoke.ai/support/solutions/articles/151000096643-what-subscription-plans-are-available-and-what-features-are-included-in-each-plan-" TargetMode="External" Id="rId4" /><Relationship Type="http://schemas.openxmlformats.org/officeDocument/2006/relationships/hyperlink" Target="https://ecommercefastlane.com/photoroom-review/" TargetMode="External" Id="rId5" /><Relationship Type="http://schemas.openxmlformats.org/officeDocument/2006/relationships/hyperlink" Target="https://claid.ai/blog/article/claid-vs-photoroom" TargetMode="External" Id="rId6" /><Relationship Type="http://schemas.openxmlformats.org/officeDocument/2006/relationships/hyperlink" Target="https://gitcode.csdn.net/6a2bc33810ee7a33f27bbd7b.html" TargetMode="External" Id="rId7" /><Relationship Type="http://schemas.openxmlformats.org/officeDocument/2006/relationships/hyperlink" Target="https://gitcode.csdn.net/6a2bc33810ee7a33f27bbd7b.html" TargetMode="External" Id="rId8" /><Relationship Type="http://schemas.openxmlformats.org/officeDocument/2006/relationships/hyperlink" Target="https://gitcode.csdn.net/6a2bc33810ee7a33f27bbd7b.html" TargetMode="External" Id="rId9" /><Relationship Type="http://schemas.openxmlformats.org/officeDocument/2006/relationships/hyperlink" Target="https://gitcode.csdn.net/6a2bc33810ee7a33f27bbd7b.html" TargetMode="External" Id="rId10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2" min="1" max="1"/>
    <col width="100" customWidth="1" style="22" min="2" max="2"/>
  </cols>
  <sheetData>
    <row r="1" ht="21.6" customHeight="1" s="23">
      <c r="A1" s="35" t="inlineStr">
        <is>
          <t>EcomCraft 开发总表 · 使用说明</t>
        </is>
      </c>
    </row>
    <row r="2" ht="19.4" customHeight="1" s="23">
      <c r="A2" s="25" t="inlineStr">
        <is>
          <t>这张表包含什么</t>
        </is>
      </c>
    </row>
    <row r="3" ht="35" customHeight="1" s="23">
      <c r="A3" s="43" t="inlineStr">
        <is>
          <t>功能总表</t>
        </is>
      </c>
      <c r="B3" s="42" t="inlineStr">
        <is>
          <t>48 项功能，按 6 个阶段排列，其中 MVP（A 平台底座、B 电商出图、C 易用与运维）27 项；“功能状态”根据开发任务自动计算，不用手填</t>
        </is>
      </c>
    </row>
    <row r="4" ht="35" customHeight="1" s="23">
      <c r="A4" s="43" t="inlineStr">
        <is>
          <t>开发任务</t>
        </is>
      </c>
      <c r="B4" s="42" t="inlineStr">
        <is>
          <t>52 个可直接交给 Claude Code 的任务（MVP 30 个），按“顺序”列执行；每个任务都有涉及文件、依赖、验收标准、测试方式和可直接粘贴的提示词</t>
        </is>
      </c>
    </row>
    <row r="5" ht="19.5" customHeight="1" s="23">
      <c r="A5" s="43" t="inlineStr">
        <is>
          <t>非开发事项</t>
        </is>
      </c>
      <c r="B5" s="42" t="inlineStr">
        <is>
          <t>需要你自己完成的事（选模型、委托做工作流、收集测试商品、准备测试环境等），部分开发任务依赖它们</t>
        </is>
      </c>
    </row>
    <row r="6" ht="19.5" customHeight="1" s="23">
      <c r="A6" s="43" t="inlineStr">
        <is>
          <t>竞品分析</t>
        </is>
      </c>
      <c r="B6" s="42" t="inlineStr">
        <is>
          <t>10 个竞品的优势、短板与对我们的启示，附来源链接</t>
        </is>
      </c>
    </row>
    <row r="7" ht="35" customHeight="1" s="23">
      <c r="A7" s="43" t="inlineStr">
        <is>
          <t>测试商品集 / 品类预设矩阵</t>
        </is>
      </c>
      <c r="B7" s="42" t="inlineStr">
        <is>
          <t>模板质量测试与品类调优的进度跟踪</t>
        </is>
      </c>
    </row>
    <row r="8" ht="19.5" customHeight="1" s="23">
      <c r="A8" s="43" t="inlineStr">
        <is>
          <t>阶段汇总</t>
        </is>
      </c>
      <c r="B8" s="42" t="inlineStr">
        <is>
          <t>各阶段功能数、任务完成情况与收入来源，自动计算</t>
        </is>
      </c>
    </row>
    <row r="9" ht="19.5" customHeight="1" s="23">
      <c r="A9" s="43" t="inlineStr">
        <is>
          <t>暂不做</t>
        </is>
      </c>
      <c r="B9" s="42" t="inlineStr">
        <is>
          <t>明确先不做的事情和原因</t>
        </is>
      </c>
    </row>
    <row r="10" ht="19.4" customHeight="1" s="23">
      <c r="A10" s="25" t="inlineStr">
        <is>
          <t>相关文档</t>
        </is>
      </c>
    </row>
    <row r="11" ht="50.5" customHeight="1" s="23">
      <c r="A11" s="43" t="inlineStr">
        <is>
          <t>架构与路线图</t>
        </is>
      </c>
      <c r="B11" s="42" t="inlineStr">
        <is>
          <t>docs/EcomCraft Architecture.zh-CN.md（英文版 docs/EcomCraft Architecture.md）：产品定位、部署拓扑、分层架构、MVP 范围；功能编号与本表一致</t>
        </is>
      </c>
    </row>
    <row r="12" ht="50.5" customHeight="1" s="23">
      <c r="A12" s="43" t="inlineStr">
        <is>
          <t>局域网平台需求</t>
        </is>
      </c>
      <c r="B12" s="42" t="inlineStr">
        <is>
          <t>docs/EcomCraft 局域网多服务器平台需求.zh-CN.md（英文版 docs/EcomCraft LAN Multi-Server Platform Requirements.md）：执行服务器、审核、调度、存储的详细需求</t>
        </is>
      </c>
    </row>
    <row r="13" ht="19.5" customHeight="1" s="23">
      <c r="A13" s="43" t="inlineStr">
        <is>
          <t>本表位置</t>
        </is>
      </c>
      <c r="B13" s="42" t="inlineStr">
        <is>
          <t>docs/EcomCraft 开发总表.xlsx，随仓库提交到 dev 分支</t>
        </is>
      </c>
    </row>
    <row r="14" ht="19.4" customHeight="1" s="23">
      <c r="A14" s="25" t="inlineStr">
        <is>
          <t>填写约定</t>
        </is>
      </c>
    </row>
    <row r="15" ht="19.5" customHeight="1" s="23">
      <c r="A15" s="43" t="inlineStr">
        <is>
          <t>黄色单元格</t>
        </is>
      </c>
      <c r="B15" s="42" t="inlineStr">
        <is>
          <t>由你填写；“状态”列从下拉菜单选择（未开始 / 进行中 / 已完成 / 暂缓）</t>
        </is>
      </c>
    </row>
    <row r="16" ht="35" customHeight="1" s="23">
      <c r="A16" s="43" t="inlineStr">
        <is>
          <t>编号规则</t>
        </is>
      </c>
      <c r="B16" s="42" t="inlineStr">
        <is>
          <t>F = 功能，T = 开发任务，N = 非开发事项，S = 痛点解决方案；编号不复用，合并或取消的项在备注中说明</t>
        </is>
      </c>
    </row>
    <row r="17" ht="19.4" customHeight="1" s="23">
      <c r="A17" s="25" t="inlineStr">
        <is>
          <t>用 Claude Code 开发的流程</t>
        </is>
      </c>
    </row>
    <row r="18" ht="19.5" customHeight="1" s="23">
      <c r="A18" s="43" t="inlineStr">
        <is>
          <t>第 1 步</t>
        </is>
      </c>
      <c r="B18" s="42" t="inlineStr">
        <is>
          <t>先做 T00：在仓库根目录建 CLAUDE.md，并用 @AGENTS.md 导入现有规则</t>
        </is>
      </c>
    </row>
    <row r="19" ht="19.5" customHeight="1" s="23">
      <c r="A19" s="43" t="inlineStr">
        <is>
          <t>第 2 步</t>
        </is>
      </c>
      <c r="B19" s="42" t="inlineStr">
        <is>
          <t>按“顺序”列一次只做一个任务；每个任务开一个新会话，避免上下文混在一起</t>
        </is>
      </c>
    </row>
    <row r="20" ht="35" customHeight="1" s="23">
      <c r="A20" s="43" t="inlineStr">
        <is>
          <t>第 3 步</t>
        </is>
      </c>
      <c r="B20" s="42" t="inlineStr">
        <is>
          <t>复制该任务的“Claude Code 提示词”粘贴进去；大多数提示词会让 Claude 先进入计划模式出方案，你看过确认后再让它写代码</t>
        </is>
      </c>
    </row>
    <row r="21" ht="35" customHeight="1" s="23">
      <c r="A21" s="43" t="inlineStr">
        <is>
          <t>第 4 步</t>
        </is>
      </c>
      <c r="B21" s="42" t="inlineStr">
        <is>
          <t>Claude 完成后，按“测试方式”列自己验证；涉及 GPU 生成的效果必须实际跑一遍，涉及多机的要在两台电脑上验证</t>
        </is>
      </c>
    </row>
    <row r="22" ht="19.5" customHeight="1" s="23">
      <c r="A22" s="43" t="inlineStr">
        <is>
          <t>第 5 步</t>
        </is>
      </c>
      <c r="B22" s="42" t="inlineStr">
        <is>
          <t>验证通过后一个任务做一次提交（dev 分支），再把任务状态改为“已完成”</t>
        </is>
      </c>
    </row>
    <row r="23" ht="19.5" customHeight="1" s="23">
      <c r="A23" s="43" t="inlineStr">
        <is>
          <t>第 6 步</t>
        </is>
      </c>
      <c r="B23" s="42" t="inlineStr">
        <is>
          <t>“依赖”列中的任务未完成前不要开始；N 开头的依赖是非开发事项</t>
        </is>
      </c>
    </row>
    <row r="24" ht="19.5" customHeight="1" s="23">
      <c r="A24" s="43" t="inlineStr">
        <is>
          <t>第 7 步</t>
        </is>
      </c>
      <c r="B24" s="42" t="inlineStr">
        <is>
          <t>每个任务涉及的文档都要中英文同步更新</t>
        </is>
      </c>
    </row>
    <row r="25" ht="19.4" customHeight="1" s="23">
      <c r="A25" s="25" t="inlineStr">
        <is>
          <t>注意事项</t>
        </is>
      </c>
    </row>
    <row r="26" ht="35" customHeight="1" s="23">
      <c r="A26" s="43" t="inlineStr">
        <is>
          <t>重新构建</t>
        </is>
      </c>
      <c r="B26" s="42" t="inlineStr">
        <is>
          <t>修改 src/Extensions/EcomCraft/ 的 C# 代码后，需按 AGENTS.md 重新构建扩展，否则会加载旧程序集</t>
        </is>
      </c>
    </row>
    <row r="27" ht="19.5" customHeight="1" s="23">
      <c r="A27" s="43" t="inlineStr">
        <is>
          <t>用户数据</t>
        </is>
      </c>
      <c r="B27" s="42" t="inlineStr">
        <is>
          <t>不要让 Claude 修改 Data/、Models/、Output/ 中的内容</t>
        </is>
      </c>
    </row>
    <row r="28" ht="19.5" customHeight="1" s="23">
      <c r="A28" s="43" t="inlineStr">
        <is>
          <t>规则变更</t>
        </is>
      </c>
      <c r="B28" s="42" t="inlineStr">
        <is>
          <t>T08、T09、T29 会修改需求文档或 AGENTS.md 中的规则，务必自己审阅后再同意</t>
        </is>
      </c>
    </row>
    <row r="29" ht="19.5" customHeight="1" s="23">
      <c r="A29" s="43" t="inlineStr">
        <is>
          <t>范围变更</t>
        </is>
      </c>
      <c r="B29" s="42" t="inlineStr">
        <is>
          <t>先改架构文档和需求文档（中英文），再改本表，最后改代码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22" min="1" max="1"/>
    <col width="22" customWidth="1" style="22" min="2" max="3"/>
    <col width="50" customWidth="1" style="22" min="4" max="4"/>
    <col width="30" customWidth="1" style="22" min="5" max="5"/>
    <col width="8" customWidth="1" style="22" min="6" max="6"/>
    <col width="10" customWidth="1" style="22" min="7" max="7"/>
    <col width="22" customWidth="1" style="22" min="8" max="8"/>
    <col width="16" customWidth="1" style="22" min="9" max="9"/>
    <col width="7" customWidth="1" style="22" min="10" max="10"/>
    <col width="10" customWidth="1" style="22" min="11" max="12"/>
    <col width="20" customWidth="1" style="22" min="13" max="13"/>
  </cols>
  <sheetData>
    <row r="1" ht="17.35" customHeight="1" s="23">
      <c r="A1" s="28" t="inlineStr">
        <is>
          <t>功能总表</t>
        </is>
      </c>
    </row>
    <row r="2" ht="15" customHeight="1" s="23">
      <c r="A2" s="29" t="inlineStr">
        <is>
          <t>“功能状态”与“任务数”由开发任务表自动计算；负责人、备注由你填写。</t>
        </is>
      </c>
    </row>
    <row r="4" ht="48.5" customHeight="1" s="23">
      <c r="A4" s="30" t="inlineStr">
        <is>
          <t>编号</t>
        </is>
      </c>
      <c r="B4" s="30" t="inlineStr">
        <is>
          <t>阶段</t>
        </is>
      </c>
      <c r="C4" s="30" t="inlineStr">
        <is>
          <t>功能</t>
        </is>
      </c>
      <c r="D4" s="30" t="inlineStr">
        <is>
          <t>说明</t>
        </is>
      </c>
      <c r="E4" s="30" t="inlineStr">
        <is>
          <t>基础 / 关联代码</t>
        </is>
      </c>
      <c r="F4" s="30" t="inlineStr">
        <is>
          <t>优先级</t>
        </is>
      </c>
      <c r="G4" s="30" t="inlineStr">
        <is>
          <t>标签</t>
        </is>
      </c>
      <c r="H4" s="30" t="inlineStr">
        <is>
          <t>来源</t>
        </is>
      </c>
      <c r="I4" s="30" t="inlineStr">
        <is>
          <t>对应开发任务</t>
        </is>
      </c>
      <c r="J4" s="30" t="inlineStr">
        <is>
          <t>任务数</t>
        </is>
      </c>
      <c r="K4" s="30" t="inlineStr">
        <is>
          <t>功能状态</t>
        </is>
      </c>
      <c r="L4" s="30" t="inlineStr">
        <is>
          <t>负责人</t>
        </is>
      </c>
      <c r="M4" s="30" t="inlineStr">
        <is>
          <t>备注</t>
        </is>
      </c>
    </row>
    <row r="5" ht="81.5" customHeight="1" s="23">
      <c r="A5" s="47" t="inlineStr">
        <is>
          <t>F28</t>
        </is>
      </c>
      <c r="B5" s="40" t="inlineStr">
        <is>
          <t>MVP-A：平台底座</t>
        </is>
      </c>
      <c r="C5" s="40" t="inlineStr">
        <is>
          <t>局域网多服务器实测</t>
        </is>
      </c>
      <c r="D5" s="40" t="inlineStr">
        <is>
          <t>编译并在真实 ComfyUI 上验证已完成的步骤 1–3（执行服务器登记、工作流发现、审核与快照），补齐 V1–V3 结论</t>
        </is>
      </c>
      <c r="E5" s="40" t="inlineStr">
        <is>
          <t>ExecutionServers.cs、WorkflowDiscovery.cs、WorkflowReview*.cs</t>
        </is>
      </c>
      <c r="F5" s="33" t="inlineStr">
        <is>
          <t>高</t>
        </is>
      </c>
      <c r="G5" s="42" t="inlineStr"/>
      <c r="H5" s="40" t="inlineStr">
        <is>
          <t>需求文档步骤 0–3</t>
        </is>
      </c>
      <c r="I5" s="42" t="inlineStr">
        <is>
          <t>T33</t>
        </is>
      </c>
      <c r="J5" s="47">
        <f>COUNTIF(开发任务!$D$5:$D$200,A5)</f>
        <v/>
      </c>
      <c r="K5" s="33">
        <f>IF(J5=0,"—",IF(COUNTIFS(开发任务!$D$5:$D$200,A5,开发任务!$L$5:$L$200,"已完成")=J5,"已完成",IF(COUNTIFS(开发任务!$D$5:$D$200,A5,开发任务!$L$5:$L$200,"未开始")=J5,"未开始","进行中")))</f>
        <v/>
      </c>
      <c r="L5" s="44" t="n"/>
      <c r="M5" s="44" t="n"/>
    </row>
    <row r="6" ht="50.5" customHeight="1" s="23">
      <c r="A6" s="47" t="inlineStr">
        <is>
          <t>F29</t>
        </is>
      </c>
      <c r="B6" s="40" t="inlineStr">
        <is>
          <t>MVP-A：平台底座</t>
        </is>
      </c>
      <c r="C6" s="40" t="inlineStr">
        <is>
          <t>调用与自动调度</t>
        </is>
      </c>
      <c r="D6" s="40" t="inlineStr">
        <is>
          <t>规则 1：分派到排队最少且具备所需节点和模型的执行服务器；执行方抽象预留云端类型（不实现）</t>
        </is>
      </c>
      <c r="E6" s="40" t="inlineStr">
        <is>
          <t>ExecutionServers.cs；新增 Studio/Generation/</t>
        </is>
      </c>
      <c r="F6" s="33" t="inlineStr">
        <is>
          <t>高</t>
        </is>
      </c>
      <c r="G6" s="42" t="inlineStr"/>
      <c r="H6" s="40" t="inlineStr">
        <is>
          <t>需求文档步骤 4</t>
        </is>
      </c>
      <c r="I6" s="42" t="inlineStr">
        <is>
          <t>T34</t>
        </is>
      </c>
      <c r="J6" s="47">
        <f>COUNTIF(开发任务!$D$5:$D$200,A6)</f>
        <v/>
      </c>
      <c r="K6" s="33">
        <f>IF(J6=0,"—",IF(COUNTIFS(开发任务!$D$5:$D$200,A6,开发任务!$L$5:$L$200,"已完成")=J6,"已完成",IF(COUNTIFS(开发任务!$D$5:$D$200,A6,开发任务!$L$5:$L$200,"未开始")=J6,"未开始","进行中")))</f>
        <v/>
      </c>
      <c r="L6" s="44" t="n"/>
      <c r="M6" s="44" t="inlineStr">
        <is>
          <t>原 F15（多机多显卡管理）已并入</t>
        </is>
      </c>
    </row>
    <row r="7" ht="50.5" customHeight="1" s="23">
      <c r="A7" s="47" t="inlineStr">
        <is>
          <t>F30</t>
        </is>
      </c>
      <c r="B7" s="40" t="inlineStr">
        <is>
          <t>MVP-A：平台底座</t>
        </is>
      </c>
      <c r="C7" s="40" t="inlineStr">
        <is>
          <t>队列、失败改派与画廊</t>
        </is>
      </c>
      <c r="D7" s="40" t="inlineStr">
        <is>
          <t>多服务器队列、掉线报失败并可改派、画廊显示实际执行服务器</t>
        </is>
      </c>
      <c r="E7" s="40" t="inlineStr">
        <is>
          <t>studio.js、StudioApi.cs</t>
        </is>
      </c>
      <c r="F7" s="33" t="inlineStr">
        <is>
          <t>高</t>
        </is>
      </c>
      <c r="G7" s="42" t="inlineStr"/>
      <c r="H7" s="40" t="inlineStr">
        <is>
          <t>需求文档步骤 5</t>
        </is>
      </c>
      <c r="I7" s="42" t="inlineStr">
        <is>
          <t>T35</t>
        </is>
      </c>
      <c r="J7" s="47">
        <f>COUNTIF(开发任务!$D$5:$D$200,A7)</f>
        <v/>
      </c>
      <c r="K7" s="33">
        <f>IF(J7=0,"—",IF(COUNTIFS(开发任务!$D$5:$D$200,A7,开发任务!$L$5:$L$200,"已完成")=J7,"已完成",IF(COUNTIFS(开发任务!$D$5:$D$200,A7,开发任务!$L$5:$L$200,"未开始")=J7,"未开始","进行中")))</f>
        <v/>
      </c>
      <c r="L7" s="44" t="n"/>
      <c r="M7" s="44" t="n"/>
    </row>
    <row r="8" ht="50.5" customHeight="1" s="23">
      <c r="A8" s="47" t="inlineStr">
        <is>
          <t>F31</t>
        </is>
      </c>
      <c r="B8" s="40" t="inlineStr">
        <is>
          <t>MVP-A：平台底座</t>
        </is>
      </c>
      <c r="C8" s="40" t="inlineStr">
        <is>
          <t>多人登录与局域网部署</t>
        </is>
      </c>
      <c r="D8" s="40" t="inlineStr">
        <is>
          <t>账号登录、排队上限、防火墙、共享存储可见性与局域网 HTTPS 限制的部署指南</t>
        </is>
      </c>
      <c r="E8" s="40" t="inlineStr">
        <is>
          <t>SwarmUI 账号系统；中英文部署文档</t>
        </is>
      </c>
      <c r="F8" s="33" t="inlineStr">
        <is>
          <t>高</t>
        </is>
      </c>
      <c r="G8" s="42" t="inlineStr"/>
      <c r="H8" s="40" t="inlineStr">
        <is>
          <t>需求文档步骤 6</t>
        </is>
      </c>
      <c r="I8" s="42" t="inlineStr">
        <is>
          <t>T36</t>
        </is>
      </c>
      <c r="J8" s="47">
        <f>COUNTIF(开发任务!$D$5:$D$200,A8)</f>
        <v/>
      </c>
      <c r="K8" s="33">
        <f>IF(J8=0,"—",IF(COUNTIFS(开发任务!$D$5:$D$200,A8,开发任务!$L$5:$L$200,"已完成")=J8,"已完成",IF(COUNTIFS(开发任务!$D$5:$D$200,A8,开发任务!$L$5:$L$200,"未开始")=J8,"未开始","进行中")))</f>
        <v/>
      </c>
      <c r="L8" s="44" t="n"/>
      <c r="M8" s="44" t="n"/>
    </row>
    <row r="9" ht="50.5" customHeight="1" s="23">
      <c r="A9" s="47" t="inlineStr">
        <is>
          <t>F32</t>
        </is>
      </c>
      <c r="B9" s="40" t="inlineStr">
        <is>
          <t>MVP-A：平台底座</t>
        </is>
      </c>
      <c r="C9" s="40" t="inlineStr">
        <is>
          <t>作品存储位置</t>
        </is>
      </c>
      <c r="D9" s="40" t="inlineStr">
        <is>
          <t>作品库与导出位置可设为本机（默认）、NAS 或其他电脑的共享文件夹；先本地后同步；系统数据固定本机</t>
        </is>
      </c>
      <c r="E9" s="40" t="inlineStr">
        <is>
          <t>新增 Studio/Storage/</t>
        </is>
      </c>
      <c r="F9" s="33" t="inlineStr">
        <is>
          <t>高</t>
        </is>
      </c>
      <c r="G9" s="42" t="inlineStr">
        <is>
          <t>运营友好</t>
        </is>
      </c>
      <c r="H9" s="40" t="inlineStr">
        <is>
          <t>需求文档 R11（2026-10-27 讨论）</t>
        </is>
      </c>
      <c r="I9" s="42" t="inlineStr">
        <is>
          <t>T37</t>
        </is>
      </c>
      <c r="J9" s="47">
        <f>COUNTIF(开发任务!$D$5:$D$200,A9)</f>
        <v/>
      </c>
      <c r="K9" s="33">
        <f>IF(J9=0,"—",IF(COUNTIFS(开发任务!$D$5:$D$200,A9,开发任务!$L$5:$L$200,"已完成")=J9,"已完成",IF(COUNTIFS(开发任务!$D$5:$D$200,A9,开发任务!$L$5:$L$200,"未开始")=J9,"未开始","进行中")))</f>
        <v/>
      </c>
      <c r="L9" s="44" t="n"/>
      <c r="M9" s="44" t="n"/>
    </row>
    <row r="10" ht="50.5" customHeight="1" s="23">
      <c r="A10" s="47" t="inlineStr">
        <is>
          <t>F24</t>
        </is>
      </c>
      <c r="B10" s="40" t="inlineStr">
        <is>
          <t>MVP-A：平台底座</t>
        </is>
      </c>
      <c r="C10" s="40" t="inlineStr">
        <is>
          <t>工作台中英文界面</t>
        </is>
      </c>
      <c r="D10" s="40" t="inlineStr">
        <is>
          <t>翻译表骨架，现有文字迁入并补齐英文；之后新功能直接双语开发</t>
        </is>
      </c>
      <c r="E10" s="40" t="inlineStr">
        <is>
          <t>Studio/index.html、studio.js、languages/</t>
        </is>
      </c>
      <c r="F10" s="33" t="inlineStr">
        <is>
          <t>高</t>
        </is>
      </c>
      <c r="G10" s="42" t="inlineStr">
        <is>
          <t>海外必做</t>
        </is>
      </c>
      <c r="H10" s="40" t="inlineStr">
        <is>
          <t>海外市场分析</t>
        </is>
      </c>
      <c r="I10" s="42" t="inlineStr">
        <is>
          <t>T22</t>
        </is>
      </c>
      <c r="J10" s="47">
        <f>COUNTIF(开发任务!$D$5:$D$200,A10)</f>
        <v/>
      </c>
      <c r="K10" s="33">
        <f>IF(J10=0,"—",IF(COUNTIFS(开发任务!$D$5:$D$200,A10,开发任务!$L$5:$L$200,"已完成")=J10,"已完成",IF(COUNTIFS(开发任务!$D$5:$D$200,A10,开发任务!$L$5:$L$200,"未开始")=J10,"未开始","进行中")))</f>
        <v/>
      </c>
      <c r="L10" s="44" t="n"/>
      <c r="M10" s="44" t="n"/>
    </row>
    <row r="11" ht="50.5" customHeight="1" s="23">
      <c r="A11" s="47" t="inlineStr">
        <is>
          <t>F01</t>
        </is>
      </c>
      <c r="B11" s="40" t="inlineStr">
        <is>
          <t>MVP-B：电商出图</t>
        </is>
      </c>
      <c r="C11" s="40" t="inlineStr">
        <is>
          <t>电商场景模板</t>
        </is>
      </c>
      <c r="D11" s="40" t="inlineStr">
        <is>
          <t>模板 = 已发布审核快照 + 电商信息（中英文名称、示例图、适用平台、所属套图）；内置白底主图、场景图、细节图、模特或手持图</t>
        </is>
      </c>
      <c r="E11" s="40" t="inlineStr">
        <is>
          <t>WorkflowReview.cs；新增 Studio/Templates/</t>
        </is>
      </c>
      <c r="F11" s="33" t="inlineStr">
        <is>
          <t>高</t>
        </is>
      </c>
      <c r="G11" s="42" t="inlineStr"/>
      <c r="H11" s="40" t="inlineStr">
        <is>
          <t>功能规划；MVP 讨论</t>
        </is>
      </c>
      <c r="I11" s="42" t="inlineStr">
        <is>
          <t>T01、T02、T04</t>
        </is>
      </c>
      <c r="J11" s="47">
        <f>COUNTIF(开发任务!$D$5:$D$200,A11)</f>
        <v/>
      </c>
      <c r="K11" s="33">
        <f>IF(J11=0,"—",IF(COUNTIFS(开发任务!$D$5:$D$200,A11,开发任务!$L$5:$L$200,"已完成")=J11,"已完成",IF(COUNTIFS(开发任务!$D$5:$D$200,A11,开发任务!$L$5:$L$200,"未开始")=J11,"未开始","进行中")))</f>
        <v/>
      </c>
      <c r="L11" s="44" t="n"/>
      <c r="M11" s="44" t="n"/>
    </row>
    <row r="12" ht="50.5" customHeight="1" s="23">
      <c r="A12" s="47" t="inlineStr">
        <is>
          <t>F37</t>
        </is>
      </c>
      <c r="B12" s="40" t="inlineStr">
        <is>
          <t>MVP-B：电商出图</t>
        </is>
      </c>
      <c r="C12" s="40" t="inlineStr">
        <is>
          <t>提示词服务</t>
        </is>
      </c>
      <c r="D12" s="40" t="inlineStr">
        <is>
          <t>一句话描述（中英文）+ 风格 → MagicPrompt 优化成英文提示词；输出只作为提示词文本；看图描述默认关闭</t>
        </is>
      </c>
      <c r="E12" s="40" t="inlineStr">
        <is>
          <t>MagicPrompt；新增 Studio/Prompting/</t>
        </is>
      </c>
      <c r="F12" s="33" t="inlineStr">
        <is>
          <t>高</t>
        </is>
      </c>
      <c r="G12" s="42" t="inlineStr">
        <is>
          <t>运营友好</t>
        </is>
      </c>
      <c r="H12" s="40" t="inlineStr">
        <is>
          <t>MVP 讨论</t>
        </is>
      </c>
      <c r="I12" s="42" t="inlineStr">
        <is>
          <t>T38</t>
        </is>
      </c>
      <c r="J12" s="47">
        <f>COUNTIF(开发任务!$D$5:$D$200,A12)</f>
        <v/>
      </c>
      <c r="K12" s="33">
        <f>IF(J12=0,"—",IF(COUNTIFS(开发任务!$D$5:$D$200,A12,开发任务!$L$5:$L$200,"已完成")=J12,"已完成",IF(COUNTIFS(开发任务!$D$5:$D$200,A12,开发任务!$L$5:$L$200,"未开始")=J12,"未开始","进行中")))</f>
        <v/>
      </c>
      <c r="L12" s="44" t="n"/>
      <c r="M12" s="44" t="n"/>
    </row>
    <row r="13" ht="50.5" customHeight="1" s="23">
      <c r="A13" s="47" t="inlineStr">
        <is>
          <t>F07</t>
        </is>
      </c>
      <c r="B13" s="40" t="inlineStr">
        <is>
          <t>MVP-B：电商出图</t>
        </is>
      </c>
      <c r="C13" s="40" t="inlineStr">
        <is>
          <t>三步式简易模式</t>
        </is>
      </c>
      <c r="D13" s="40" t="inlineStr">
        <is>
          <t>默认界面：上传或选商品 → 选平台和风格 → 挑图下载；无提示词框；专业参数只对管理员可见</t>
        </is>
      </c>
      <c r="E13" s="40" t="inlineStr">
        <is>
          <t>studio.js、index.html；新增 simple.js</t>
        </is>
      </c>
      <c r="F13" s="33" t="inlineStr">
        <is>
          <t>高</t>
        </is>
      </c>
      <c r="G13" s="42" t="inlineStr">
        <is>
          <t>运营友好</t>
        </is>
      </c>
      <c r="H13" s="40" t="inlineStr">
        <is>
          <t>功能规划；MVP 讨论</t>
        </is>
      </c>
      <c r="I13" s="42" t="inlineStr">
        <is>
          <t>T13</t>
        </is>
      </c>
      <c r="J13" s="47">
        <f>COUNTIF(开发任务!$D$5:$D$200,A13)</f>
        <v/>
      </c>
      <c r="K13" s="33">
        <f>IF(J13=0,"—",IF(COUNTIFS(开发任务!$D$5:$D$200,A13,开发任务!$L$5:$L$200,"已完成")=J13,"已完成",IF(COUNTIFS(开发任务!$D$5:$D$200,A13,开发任务!$L$5:$L$200,"未开始")=J13,"未开始","进行中")))</f>
        <v/>
      </c>
      <c r="L13" s="44" t="n"/>
      <c r="M13" s="44" t="n"/>
    </row>
    <row r="14" ht="50.5" customHeight="1" s="23">
      <c r="A14" s="47" t="inlineStr">
        <is>
          <t>F02</t>
        </is>
      </c>
      <c r="B14" s="40" t="inlineStr">
        <is>
          <t>MVP-B：电商出图</t>
        </is>
      </c>
      <c r="C14" s="40" t="inlineStr">
        <is>
          <t>商品保真</t>
        </is>
      </c>
      <c r="D14" s="40" t="inlineStr">
        <is>
          <t>用商品蒙版把原商品像素合成回生成图，保证 Logo、文字、形状不被改动；合成始终在本地</t>
        </is>
      </c>
      <c r="E14" s="40" t="inlineStr">
        <is>
          <t>ComfyUI 工作流 + 新增 Studio/PostProcess/</t>
        </is>
      </c>
      <c r="F14" s="33" t="inlineStr">
        <is>
          <t>高</t>
        </is>
      </c>
      <c r="G14" s="42" t="inlineStr"/>
      <c r="H14" s="40" t="inlineStr">
        <is>
          <t>功能规划</t>
        </is>
      </c>
      <c r="I14" s="42" t="inlineStr">
        <is>
          <t>T07</t>
        </is>
      </c>
      <c r="J14" s="47">
        <f>COUNTIF(开发任务!$D$5:$D$200,A14)</f>
        <v/>
      </c>
      <c r="K14" s="33">
        <f>IF(J14=0,"—",IF(COUNTIFS(开发任务!$D$5:$D$200,A14,开发任务!$L$5:$L$200,"已完成")=J14,"已完成",IF(COUNTIFS(开发任务!$D$5:$D$200,A14,开发任务!$L$5:$L$200,"未开始")=J14,"未开始","进行中")))</f>
        <v/>
      </c>
      <c r="L14" s="44" t="n"/>
      <c r="M14" s="44" t="n"/>
    </row>
    <row r="15" ht="50.5" customHeight="1" s="23">
      <c r="A15" s="47" t="inlineStr">
        <is>
          <t>F35</t>
        </is>
      </c>
      <c r="B15" s="40" t="inlineStr">
        <is>
          <t>MVP-B：电商出图</t>
        </is>
      </c>
      <c r="C15" s="40" t="inlineStr">
        <is>
          <t>抠图确认与商品位置调整</t>
        </is>
      </c>
      <c r="D15" s="40" t="inlineStr">
        <is>
          <t>生成前确认抠图结果；可拖动和缩放商品在画面中的位置</t>
        </is>
      </c>
      <c r="E15" s="40" t="inlineStr">
        <is>
          <t>Studio/PostProcess/；simple.js</t>
        </is>
      </c>
      <c r="F15" s="33" t="inlineStr">
        <is>
          <t>高</t>
        </is>
      </c>
      <c r="G15" s="42" t="inlineStr">
        <is>
          <t>运营友好</t>
        </is>
      </c>
      <c r="H15" s="40" t="inlineStr">
        <is>
          <t>MVP 讨论</t>
        </is>
      </c>
      <c r="I15" s="42" t="inlineStr">
        <is>
          <t>T39</t>
        </is>
      </c>
      <c r="J15" s="47">
        <f>COUNTIF(开发任务!$D$5:$D$200,A15)</f>
        <v/>
      </c>
      <c r="K15" s="33">
        <f>IF(J15=0,"—",IF(COUNTIFS(开发任务!$D$5:$D$200,A15,开发任务!$L$5:$L$200,"已完成")=J15,"已完成",IF(COUNTIFS(开发任务!$D$5:$D$200,A15,开发任务!$L$5:$L$200,"未开始")=J15,"未开始","进行中")))</f>
        <v/>
      </c>
      <c r="L15" s="44" t="n"/>
      <c r="M15" s="44" t="n"/>
    </row>
    <row r="16" ht="35" customHeight="1" s="23">
      <c r="A16" s="47" t="inlineStr">
        <is>
          <t>F03</t>
        </is>
      </c>
      <c r="B16" s="40" t="inlineStr">
        <is>
          <t>MVP-B：电商出图</t>
        </is>
      </c>
      <c r="C16" s="40" t="inlineStr">
        <is>
          <t>一键套图与批量</t>
        </is>
      </c>
      <c r="D16" s="40" t="inlineStr">
        <is>
          <t>按平台一次出整套图；多张商品排队；多台显卡并行；按人限流</t>
        </is>
      </c>
      <c r="E16" s="40" t="inlineStr">
        <is>
          <t>新增 Studio/Generation/ 编排</t>
        </is>
      </c>
      <c r="F16" s="33" t="inlineStr">
        <is>
          <t>高</t>
        </is>
      </c>
      <c r="G16" s="42" t="inlineStr">
        <is>
          <t>运营友好</t>
        </is>
      </c>
      <c r="H16" s="40" t="inlineStr">
        <is>
          <t>功能规划；MVP 讨论</t>
        </is>
      </c>
      <c r="I16" s="42" t="inlineStr">
        <is>
          <t>T08</t>
        </is>
      </c>
      <c r="J16" s="47">
        <f>COUNTIF(开发任务!$D$5:$D$200,A16)</f>
        <v/>
      </c>
      <c r="K16" s="33">
        <f>IF(J16=0,"—",IF(COUNTIFS(开发任务!$D$5:$D$200,A16,开发任务!$L$5:$L$200,"已完成")=J16,"已完成",IF(COUNTIFS(开发任务!$D$5:$D$200,A16,开发任务!$L$5:$L$200,"未开始")=J16,"未开始","进行中")))</f>
        <v/>
      </c>
      <c r="L16" s="44" t="n"/>
      <c r="M16" s="44" t="n"/>
    </row>
    <row r="17" ht="35" customHeight="1" s="23">
      <c r="A17" s="47" t="inlineStr">
        <is>
          <t>F36</t>
        </is>
      </c>
      <c r="B17" s="40" t="inlineStr">
        <is>
          <t>MVP-B：电商出图</t>
        </is>
      </c>
      <c r="C17" s="40" t="inlineStr">
        <is>
          <t>商品库（简版）</t>
        </is>
      </c>
      <c r="D17" s="40" t="inlineStr">
        <is>
          <t>上传一次，缓存原图、抠图和位置，可重复用于不同平台的套图</t>
        </is>
      </c>
      <c r="E17" s="40" t="inlineStr">
        <is>
          <t>新增 Studio/Products/</t>
        </is>
      </c>
      <c r="F17" s="33" t="inlineStr">
        <is>
          <t>中</t>
        </is>
      </c>
      <c r="G17" s="42" t="inlineStr">
        <is>
          <t>运营友好</t>
        </is>
      </c>
      <c r="H17" s="40" t="inlineStr">
        <is>
          <t>MVP 讨论</t>
        </is>
      </c>
      <c r="I17" s="42" t="inlineStr">
        <is>
          <t>T40</t>
        </is>
      </c>
      <c r="J17" s="47">
        <f>COUNTIF(开发任务!$D$5:$D$200,A17)</f>
        <v/>
      </c>
      <c r="K17" s="33">
        <f>IF(J17=0,"—",IF(COUNTIFS(开发任务!$D$5:$D$200,A17,开发任务!$L$5:$L$200,"已完成")=J17,"已完成",IF(COUNTIFS(开发任务!$D$5:$D$200,A17,开发任务!$L$5:$L$200,"未开始")=J17,"未开始","进行中")))</f>
        <v/>
      </c>
      <c r="L17" s="44" t="n"/>
      <c r="M17" s="44" t="n"/>
    </row>
    <row r="18" ht="35" customHeight="1" s="23">
      <c r="A18" s="47" t="inlineStr">
        <is>
          <t>F05</t>
        </is>
      </c>
      <c r="B18" s="40" t="inlineStr">
        <is>
          <t>MVP-B：电商出图</t>
        </is>
      </c>
      <c r="C18" s="40" t="inlineStr">
        <is>
          <t>平台导出</t>
        </is>
      </c>
      <c r="D18" s="40" t="inlineStr">
        <is>
          <t>国内外平台尺寸预设，自动缩放补边；下载 zip 或导出到共享文件夹</t>
        </is>
      </c>
      <c r="E18" s="40" t="inlineStr">
        <is>
          <t>新增 Studio/Export/</t>
        </is>
      </c>
      <c r="F18" s="33" t="inlineStr">
        <is>
          <t>高</t>
        </is>
      </c>
      <c r="G18" s="42" t="inlineStr">
        <is>
          <t>海外必做</t>
        </is>
      </c>
      <c r="H18" s="40" t="inlineStr">
        <is>
          <t>功能规划</t>
        </is>
      </c>
      <c r="I18" s="42" t="inlineStr">
        <is>
          <t>T11</t>
        </is>
      </c>
      <c r="J18" s="47">
        <f>COUNTIF(开发任务!$D$5:$D$200,A18)</f>
        <v/>
      </c>
      <c r="K18" s="33">
        <f>IF(J18=0,"—",IF(COUNTIFS(开发任务!$D$5:$D$200,A18,开发任务!$L$5:$L$200,"已完成")=J18,"已完成",IF(COUNTIFS(开发任务!$D$5:$D$200,A18,开发任务!$L$5:$L$200,"未开始")=J18,"未开始","进行中")))</f>
        <v/>
      </c>
      <c r="L18" s="44" t="n"/>
      <c r="M18" s="44" t="n"/>
    </row>
    <row r="19" ht="66" customHeight="1" s="23">
      <c r="A19" s="47" t="inlineStr">
        <is>
          <t>F22</t>
        </is>
      </c>
      <c r="B19" s="40" t="inlineStr">
        <is>
          <t>MVP-B：电商出图</t>
        </is>
      </c>
      <c r="C19" s="40" t="inlineStr">
        <is>
          <t>合规：亚马逊主图与 AI 元数据</t>
        </is>
      </c>
      <c r="D19" s="40" t="inlineStr">
        <is>
          <t>亚马逊白底主图走纯抠图分支（不调用生成模型）；导出写入 AI 生成元数据</t>
        </is>
      </c>
      <c r="E19" s="40" t="inlineStr">
        <is>
          <t>Studio/Export/ + 模板分支</t>
        </is>
      </c>
      <c r="F19" s="33" t="inlineStr">
        <is>
          <t>高</t>
        </is>
      </c>
      <c r="G19" s="42" t="inlineStr">
        <is>
          <t>海外必做</t>
        </is>
      </c>
      <c r="H19" s="40" t="inlineStr">
        <is>
          <t>海外市场分析</t>
        </is>
      </c>
      <c r="I19" s="42" t="inlineStr">
        <is>
          <t>T19</t>
        </is>
      </c>
      <c r="J19" s="47">
        <f>COUNTIF(开发任务!$D$5:$D$200,A19)</f>
        <v/>
      </c>
      <c r="K19" s="33">
        <f>IF(J19=0,"—",IF(COUNTIFS(开发任务!$D$5:$D$200,A19,开发任务!$L$5:$L$200,"已完成")=J19,"已完成",IF(COUNTIFS(开发任务!$D$5:$D$200,A19,开发任务!$L$5:$L$200,"未开始")=J19,"未开始","进行中")))</f>
        <v/>
      </c>
      <c r="L19" s="44" t="n"/>
      <c r="M19" s="44" t="n"/>
    </row>
    <row r="20" ht="50.5" customHeight="1" s="23">
      <c r="A20" s="47" t="inlineStr">
        <is>
          <t>F08</t>
        </is>
      </c>
      <c r="B20" s="40" t="inlineStr">
        <is>
          <t>MVP-B：电商出图</t>
        </is>
      </c>
      <c r="C20" s="40" t="inlineStr">
        <is>
          <t>模型清单与商用许可标注</t>
        </is>
      </c>
      <c r="D20" s="40" t="inlineStr">
        <is>
          <t>按服务器列出模板缺少的模型和节点及商用许可状态；下载由管理员手动完成</t>
        </is>
      </c>
      <c r="E20" s="40" t="inlineStr">
        <is>
          <t>模板 requirements / license 字段</t>
        </is>
      </c>
      <c r="F20" s="33" t="inlineStr">
        <is>
          <t>中</t>
        </is>
      </c>
      <c r="G20" s="42" t="inlineStr"/>
      <c r="H20" s="40" t="inlineStr">
        <is>
          <t>功能规划；痛点 S1</t>
        </is>
      </c>
      <c r="I20" s="42" t="inlineStr">
        <is>
          <t>T14</t>
        </is>
      </c>
      <c r="J20" s="47">
        <f>COUNTIF(开发任务!$D$5:$D$200,A20)</f>
        <v/>
      </c>
      <c r="K20" s="33">
        <f>IF(J20=0,"—",IF(COUNTIFS(开发任务!$D$5:$D$200,A20,开发任务!$L$5:$L$200,"已完成")=J20,"已完成",IF(COUNTIFS(开发任务!$D$5:$D$200,A20,开发任务!$L$5:$L$200,"未开始")=J20,"未开始","进行中")))</f>
        <v/>
      </c>
      <c r="L20" s="44" t="n"/>
      <c r="M20" s="44" t="n"/>
    </row>
    <row r="21" ht="35" customHeight="1" s="23">
      <c r="A21" s="47" t="inlineStr">
        <is>
          <t>F20</t>
        </is>
      </c>
      <c r="B21" s="40" t="inlineStr">
        <is>
          <t>MVP-B：电商出图</t>
        </is>
      </c>
      <c r="C21" s="40" t="inlineStr">
        <is>
          <t>模板测试台</t>
        </is>
      </c>
      <c r="D21" s="40" t="inlineStr">
        <is>
          <t>固定测试商品集 × 模板批量生成，输出报告，统计合格率，改参数后重跑对比</t>
        </is>
      </c>
      <c r="E21" s="40" t="inlineStr">
        <is>
          <t>调用平台生成 API 的 Node 脚本</t>
        </is>
      </c>
      <c r="F21" s="33" t="inlineStr">
        <is>
          <t>高</t>
        </is>
      </c>
      <c r="G21" s="42" t="inlineStr"/>
      <c r="H21" s="40" t="inlineStr">
        <is>
          <t>痛点解决方案 S3</t>
        </is>
      </c>
      <c r="I21" s="42" t="inlineStr">
        <is>
          <t>T06</t>
        </is>
      </c>
      <c r="J21" s="47">
        <f>COUNTIF(开发任务!$D$5:$D$200,A21)</f>
        <v/>
      </c>
      <c r="K21" s="33">
        <f>IF(J21=0,"—",IF(COUNTIFS(开发任务!$D$5:$D$200,A21,开发任务!$L$5:$L$200,"已完成")=J21,"已完成",IF(COUNTIFS(开发任务!$D$5:$D$200,A21,开发任务!$L$5:$L$200,"未开始")=J21,"未开始","进行中")))</f>
        <v/>
      </c>
      <c r="L21" s="44" t="n"/>
      <c r="M21" s="44" t="n"/>
    </row>
    <row r="22" ht="66" customHeight="1" s="23">
      <c r="A22" s="47" t="inlineStr">
        <is>
          <t>F10</t>
        </is>
      </c>
      <c r="B22" s="40" t="inlineStr">
        <is>
          <t>MVP-C：易用与运维</t>
        </is>
      </c>
      <c r="C22" s="40" t="inlineStr">
        <is>
          <t>中英文 README 与演示</t>
        </is>
      </c>
      <c r="D22" s="40" t="inlineStr">
        <is>
          <t>README 顶部效果对比图、演示视频、部署服务说明；中英文一致</t>
        </is>
      </c>
      <c r="E22" s="40" t="inlineStr">
        <is>
          <t>README.md、README.en.md、docs 索引</t>
        </is>
      </c>
      <c r="F22" s="33" t="inlineStr">
        <is>
          <t>中</t>
        </is>
      </c>
      <c r="G22" s="42" t="inlineStr">
        <is>
          <t>海外必做</t>
        </is>
      </c>
      <c r="H22" s="40" t="inlineStr">
        <is>
          <t>功能规划</t>
        </is>
      </c>
      <c r="I22" s="42" t="inlineStr">
        <is>
          <t>T16</t>
        </is>
      </c>
      <c r="J22" s="47">
        <f>COUNTIF(开发任务!$D$5:$D$200,A22)</f>
        <v/>
      </c>
      <c r="K22" s="33">
        <f>IF(J22=0,"—",IF(COUNTIFS(开发任务!$D$5:$D$200,A22,开发任务!$L$5:$L$200,"已完成")=J22,"已完成",IF(COUNTIFS(开发任务!$D$5:$D$200,A22,开发任务!$L$5:$L$200,"未开始")=J22,"未开始","进行中")))</f>
        <v/>
      </c>
      <c r="L22" s="44" t="n"/>
      <c r="M22" s="44" t="n"/>
    </row>
    <row r="23" ht="35" customHeight="1" s="23">
      <c r="A23" s="47" t="inlineStr">
        <is>
          <t>F38</t>
        </is>
      </c>
      <c r="B23" s="40" t="inlineStr">
        <is>
          <t>MVP-C：易用与运维</t>
        </is>
      </c>
      <c r="C23" s="40" t="inlineStr">
        <is>
          <t>上传质量检查</t>
        </is>
      </c>
      <c r="D23" s="40" t="inlineStr">
        <is>
          <t>分辨率过低、模糊或商品占比过小时提前提醒，避免白跑显卡</t>
        </is>
      </c>
      <c r="E23" s="40" t="inlineStr">
        <is>
          <t>simple.js；服务端检查</t>
        </is>
      </c>
      <c r="F23" s="33" t="inlineStr">
        <is>
          <t>中</t>
        </is>
      </c>
      <c r="G23" s="42" t="inlineStr">
        <is>
          <t>运营友好</t>
        </is>
      </c>
      <c r="H23" s="40" t="inlineStr">
        <is>
          <t>MVP 讨论</t>
        </is>
      </c>
      <c r="I23" s="42" t="inlineStr">
        <is>
          <t>T41</t>
        </is>
      </c>
      <c r="J23" s="47">
        <f>COUNTIF(开发任务!$D$5:$D$200,A23)</f>
        <v/>
      </c>
      <c r="K23" s="33">
        <f>IF(J23=0,"—",IF(COUNTIFS(开发任务!$D$5:$D$200,A23,开发任务!$L$5:$L$200,"已完成")=J23,"已完成",IF(COUNTIFS(开发任务!$D$5:$D$200,A23,开发任务!$L$5:$L$200,"未开始")=J23,"未开始","进行中")))</f>
        <v/>
      </c>
      <c r="L23" s="44" t="n"/>
      <c r="M23" s="44" t="n"/>
    </row>
    <row r="24" ht="50.5" customHeight="1" s="23">
      <c r="A24" s="47" t="inlineStr">
        <is>
          <t>F39</t>
        </is>
      </c>
      <c r="B24" s="40" t="inlineStr">
        <is>
          <t>MVP-C：易用与运维</t>
        </is>
      </c>
      <c r="C24" s="40" t="inlineStr">
        <is>
          <t>未选候选图自动清理</t>
        </is>
      </c>
      <c r="D24" s="40" t="inlineStr">
        <is>
          <t>未选中的候选图 N 天后清理，选中、下载或导出过的永久保留</t>
        </is>
      </c>
      <c r="E24" s="40" t="inlineStr">
        <is>
          <t>Studio/Storage/</t>
        </is>
      </c>
      <c r="F24" s="33" t="inlineStr">
        <is>
          <t>中</t>
        </is>
      </c>
      <c r="G24" s="42" t="inlineStr"/>
      <c r="H24" s="40" t="inlineStr">
        <is>
          <t>MVP 讨论</t>
        </is>
      </c>
      <c r="I24" s="42" t="inlineStr">
        <is>
          <t>T42</t>
        </is>
      </c>
      <c r="J24" s="47">
        <f>COUNTIF(开发任务!$D$5:$D$200,A24)</f>
        <v/>
      </c>
      <c r="K24" s="33">
        <f>IF(J24=0,"—",IF(COUNTIFS(开发任务!$D$5:$D$200,A24,开发任务!$L$5:$L$200,"已完成")=J24,"已完成",IF(COUNTIFS(开发任务!$D$5:$D$200,A24,开发任务!$L$5:$L$200,"未开始")=J24,"未开始","进行中")))</f>
        <v/>
      </c>
      <c r="L24" s="44" t="n"/>
      <c r="M24" s="44" t="n"/>
    </row>
    <row r="25" ht="35" customHeight="1" s="23">
      <c r="A25" s="47" t="inlineStr">
        <is>
          <t>F40</t>
        </is>
      </c>
      <c r="B25" s="40" t="inlineStr">
        <is>
          <t>MVP-C：易用与运维</t>
        </is>
      </c>
      <c r="C25" s="40" t="inlineStr">
        <is>
          <t>首次设置向导</t>
        </is>
      </c>
      <c r="D25" s="40" t="inlineStr">
        <is>
          <t>管理员首次进入：语言 → 存储位置 → 登记服务器 → 检查模型 → 选常用平台</t>
        </is>
      </c>
      <c r="E25" s="40" t="inlineStr">
        <is>
          <t>管理视图</t>
        </is>
      </c>
      <c r="F25" s="33" t="inlineStr">
        <is>
          <t>中</t>
        </is>
      </c>
      <c r="G25" s="42" t="inlineStr">
        <is>
          <t>运营友好</t>
        </is>
      </c>
      <c r="H25" s="40" t="inlineStr">
        <is>
          <t>MVP 讨论</t>
        </is>
      </c>
      <c r="I25" s="42" t="inlineStr">
        <is>
          <t>T44</t>
        </is>
      </c>
      <c r="J25" s="47">
        <f>COUNTIF(开发任务!$D$5:$D$200,A25)</f>
        <v/>
      </c>
      <c r="K25" s="33">
        <f>IF(J25=0,"—",IF(COUNTIFS(开发任务!$D$5:$D$200,A25,开发任务!$L$5:$L$200,"已完成")=J25,"已完成",IF(COUNTIFS(开发任务!$D$5:$D$200,A25,开发任务!$L$5:$L$200,"未开始")=J25,"未开始","进行中")))</f>
        <v/>
      </c>
      <c r="L25" s="44" t="n"/>
      <c r="M25" s="44" t="n"/>
    </row>
    <row r="26" ht="35" customHeight="1" s="23">
      <c r="A26" s="47" t="inlineStr">
        <is>
          <t>F41</t>
        </is>
      </c>
      <c r="B26" s="40" t="inlineStr">
        <is>
          <t>MVP-C：易用与运维</t>
        </is>
      </c>
      <c r="C26" s="40" t="inlineStr">
        <is>
          <t>白话错误提示</t>
        </is>
      </c>
      <c r="D26" s="40" t="inlineStr">
        <is>
          <t>用运营看得懂的中英文说明原因和下一步</t>
        </is>
      </c>
      <c r="E26" s="40" t="inlineStr">
        <is>
          <t>错误码 + 翻译表</t>
        </is>
      </c>
      <c r="F26" s="33" t="inlineStr">
        <is>
          <t>中</t>
        </is>
      </c>
      <c r="G26" s="42" t="inlineStr">
        <is>
          <t>运营友好</t>
        </is>
      </c>
      <c r="H26" s="40" t="inlineStr">
        <is>
          <t>MVP 讨论</t>
        </is>
      </c>
      <c r="I26" s="42" t="inlineStr">
        <is>
          <t>T43</t>
        </is>
      </c>
      <c r="J26" s="47">
        <f>COUNTIF(开发任务!$D$5:$D$200,A26)</f>
        <v/>
      </c>
      <c r="K26" s="33">
        <f>IF(J26=0,"—",IF(COUNTIFS(开发任务!$D$5:$D$200,A26,开发任务!$L$5:$L$200,"已完成")=J26,"已完成",IF(COUNTIFS(开发任务!$D$5:$D$200,A26,开发任务!$L$5:$L$200,"未开始")=J26,"未开始","进行中")))</f>
        <v/>
      </c>
      <c r="L26" s="44" t="n"/>
      <c r="M26" s="44" t="n"/>
    </row>
    <row r="27" ht="50.5" customHeight="1" s="23">
      <c r="A27" s="47" t="inlineStr">
        <is>
          <t>F42</t>
        </is>
      </c>
      <c r="B27" s="40" t="inlineStr">
        <is>
          <t>MVP-C：易用与运维</t>
        </is>
      </c>
      <c r="C27" s="40" t="inlineStr">
        <is>
          <t>手机拍照上传与移动端画廊</t>
        </is>
      </c>
      <c r="D27" s="40" t="inlineStr">
        <is>
          <t>手机拍照直接上传；手机浏览画廊；不依赖需要 HTTPS 的浏览器功能</t>
        </is>
      </c>
      <c r="E27" s="40" t="inlineStr">
        <is>
          <t>studio.css、simple.js</t>
        </is>
      </c>
      <c r="F27" s="33" t="inlineStr">
        <is>
          <t>中</t>
        </is>
      </c>
      <c r="G27" s="42" t="inlineStr">
        <is>
          <t>运营友好</t>
        </is>
      </c>
      <c r="H27" s="40" t="inlineStr">
        <is>
          <t>MVP 讨论</t>
        </is>
      </c>
      <c r="I27" s="42" t="inlineStr">
        <is>
          <t>T45</t>
        </is>
      </c>
      <c r="J27" s="47">
        <f>COUNTIF(开发任务!$D$5:$D$200,A27)</f>
        <v/>
      </c>
      <c r="K27" s="33">
        <f>IF(J27=0,"—",IF(COUNTIFS(开发任务!$D$5:$D$200,A27,开发任务!$L$5:$L$200,"已完成")=J27,"已完成",IF(COUNTIFS(开发任务!$D$5:$D$200,A27,开发任务!$L$5:$L$200,"未开始")=J27,"未开始","进行中")))</f>
        <v/>
      </c>
      <c r="L27" s="44" t="n"/>
      <c r="M27" s="44" t="n"/>
    </row>
    <row r="28" ht="35" customHeight="1" s="23">
      <c r="A28" s="47" t="inlineStr">
        <is>
          <t>F43</t>
        </is>
      </c>
      <c r="B28" s="40" t="inlineStr">
        <is>
          <t>MVP-C：易用与运维</t>
        </is>
      </c>
      <c r="C28" s="40" t="inlineStr">
        <is>
          <t>完成通知</t>
        </is>
      </c>
      <c r="D28" s="40" t="inlineStr">
        <is>
          <t>批量任务完成或失败时页面内提醒，后台时标题显示进度</t>
        </is>
      </c>
      <c r="E28" s="40" t="inlineStr">
        <is>
          <t>studio.js</t>
        </is>
      </c>
      <c r="F28" s="33" t="inlineStr">
        <is>
          <t>低</t>
        </is>
      </c>
      <c r="G28" s="42" t="inlineStr">
        <is>
          <t>运营友好</t>
        </is>
      </c>
      <c r="H28" s="40" t="inlineStr">
        <is>
          <t>MVP 讨论</t>
        </is>
      </c>
      <c r="I28" s="42" t="inlineStr">
        <is>
          <t>T46</t>
        </is>
      </c>
      <c r="J28" s="47">
        <f>COUNTIF(开发任务!$D$5:$D$200,A28)</f>
        <v/>
      </c>
      <c r="K28" s="33">
        <f>IF(J28=0,"—",IF(COUNTIFS(开发任务!$D$5:$D$200,A28,开发任务!$L$5:$L$200,"已完成")=J28,"已完成",IF(COUNTIFS(开发任务!$D$5:$D$200,A28,开发任务!$L$5:$L$200,"未开始")=J28,"未开始","进行中")))</f>
        <v/>
      </c>
      <c r="L28" s="44" t="n"/>
      <c r="M28" s="44" t="n"/>
    </row>
    <row r="29" ht="35" customHeight="1" s="23">
      <c r="A29" s="47" t="inlineStr">
        <is>
          <t>F44</t>
        </is>
      </c>
      <c r="B29" s="40" t="inlineStr">
        <is>
          <t>MVP-C：易用与运维</t>
        </is>
      </c>
      <c r="C29" s="40" t="inlineStr">
        <is>
          <t>一键诊断包</t>
        </is>
      </c>
      <c r="D29" s="40" t="inlineStr">
        <is>
          <t>打包日志、服务器状态和配置，不含密钥、提示词和图片，便于远程技术支持</t>
        </is>
      </c>
      <c r="E29" s="40" t="inlineStr">
        <is>
          <t>新增管理接口</t>
        </is>
      </c>
      <c r="F29" s="33" t="inlineStr">
        <is>
          <t>中</t>
        </is>
      </c>
      <c r="G29" s="42" t="inlineStr"/>
      <c r="H29" s="40" t="inlineStr">
        <is>
          <t>MVP 讨论</t>
        </is>
      </c>
      <c r="I29" s="42" t="inlineStr">
        <is>
          <t>T47</t>
        </is>
      </c>
      <c r="J29" s="47">
        <f>COUNTIF(开发任务!$D$5:$D$200,A29)</f>
        <v/>
      </c>
      <c r="K29" s="33">
        <f>IF(J29=0,"—",IF(COUNTIFS(开发任务!$D$5:$D$200,A29,开发任务!$L$5:$L$200,"已完成")=J29,"已完成",IF(COUNTIFS(开发任务!$D$5:$D$200,A29,开发任务!$L$5:$L$200,"未开始")=J29,"未开始","进行中")))</f>
        <v/>
      </c>
      <c r="L29" s="44" t="n"/>
      <c r="M29" s="44" t="n"/>
    </row>
    <row r="30" ht="50.5" customHeight="1" s="23">
      <c r="A30" s="47" t="inlineStr">
        <is>
          <t>F45</t>
        </is>
      </c>
      <c r="B30" s="40" t="inlineStr">
        <is>
          <t>MVP-C：易用与运维</t>
        </is>
      </c>
      <c r="C30" s="40" t="inlineStr">
        <is>
          <t>系统数据备份与升级</t>
        </is>
      </c>
      <c r="D30" s="40" t="inlineStr">
        <is>
          <t>一键备份与恢复系统数据；升级保留数据</t>
        </is>
      </c>
      <c r="E30" s="40" t="inlineStr">
        <is>
          <t>新增管理接口</t>
        </is>
      </c>
      <c r="F30" s="33" t="inlineStr">
        <is>
          <t>中</t>
        </is>
      </c>
      <c r="G30" s="42" t="inlineStr"/>
      <c r="H30" s="40" t="inlineStr">
        <is>
          <t>MVP 讨论</t>
        </is>
      </c>
      <c r="I30" s="42" t="inlineStr">
        <is>
          <t>T48</t>
        </is>
      </c>
      <c r="J30" s="47">
        <f>COUNTIF(开发任务!$D$5:$D$200,A30)</f>
        <v/>
      </c>
      <c r="K30" s="33">
        <f>IF(J30=0,"—",IF(COUNTIFS(开发任务!$D$5:$D$200,A30,开发任务!$L$5:$L$200,"已完成")=J30,"已完成",IF(COUNTIFS(开发任务!$D$5:$D$200,A30,开发任务!$L$5:$L$200,"未开始")=J30,"未开始","进行中")))</f>
        <v/>
      </c>
      <c r="L30" s="44" t="n"/>
      <c r="M30" s="44" t="n"/>
    </row>
    <row r="31" ht="35" customHeight="1" s="23">
      <c r="A31" s="47" t="inlineStr">
        <is>
          <t>F46</t>
        </is>
      </c>
      <c r="B31" s="40" t="inlineStr">
        <is>
          <t>MVP-C：易用与运维</t>
        </is>
      </c>
      <c r="C31" s="40" t="inlineStr">
        <is>
          <t>磁盘空间监控</t>
        </is>
      </c>
      <c r="D31" s="40" t="inlineStr">
        <is>
          <t>本机或共享存储空间不足时提醒管理员，严重不足时暂停接收任务</t>
        </is>
      </c>
      <c r="E31" s="40" t="inlineStr">
        <is>
          <t>Studio/Storage/</t>
        </is>
      </c>
      <c r="F31" s="33" t="inlineStr">
        <is>
          <t>低</t>
        </is>
      </c>
      <c r="G31" s="42" t="inlineStr"/>
      <c r="H31" s="40" t="inlineStr">
        <is>
          <t>MVP 讨论</t>
        </is>
      </c>
      <c r="I31" s="42" t="inlineStr">
        <is>
          <t>T49</t>
        </is>
      </c>
      <c r="J31" s="47">
        <f>COUNTIF(开发任务!$D$5:$D$200,A31)</f>
        <v/>
      </c>
      <c r="K31" s="33">
        <f>IF(J31=0,"—",IF(COUNTIFS(开发任务!$D$5:$D$200,A31,开发任务!$L$5:$L$200,"已完成")=J31,"已完成",IF(COUNTIFS(开发任务!$D$5:$D$200,A31,开发任务!$L$5:$L$200,"未开始")=J31,"未开始","进行中")))</f>
        <v/>
      </c>
      <c r="L31" s="44" t="n"/>
      <c r="M31" s="44" t="n"/>
    </row>
    <row r="32" ht="66" customHeight="1" s="23">
      <c r="A32" s="47" t="inlineStr">
        <is>
          <t>F25</t>
        </is>
      </c>
      <c r="B32" s="40" t="inlineStr">
        <is>
          <t>后续：功能增强</t>
        </is>
      </c>
      <c r="C32" s="40" t="inlineStr">
        <is>
          <t>卖点分析与套图分镜</t>
        </is>
      </c>
      <c r="D32" s="40" t="inlineStr">
        <is>
          <t>用提示词服务提炼卖点，生成整套图分镜，确认后批量生成</t>
        </is>
      </c>
      <c r="E32" s="40" t="inlineStr">
        <is>
          <t>提示词服务；依赖 F01、F03</t>
        </is>
      </c>
      <c r="F32" s="33" t="inlineStr">
        <is>
          <t>高</t>
        </is>
      </c>
      <c r="G32" s="42" t="inlineStr"/>
      <c r="H32" s="40" t="inlineStr">
        <is>
          <t>竞品启发（EcomGen、ecommerce-image-suite）</t>
        </is>
      </c>
      <c r="I32" s="42" t="inlineStr">
        <is>
          <t>T30</t>
        </is>
      </c>
      <c r="J32" s="47">
        <f>COUNTIF(开发任务!$D$5:$D$200,A32)</f>
        <v/>
      </c>
      <c r="K32" s="33">
        <f>IF(J32=0,"—",IF(COUNTIFS(开发任务!$D$5:$D$200,A32,开发任务!$L$5:$L$200,"已完成")=J32,"已完成",IF(COUNTIFS(开发任务!$D$5:$D$200,A32,开发任务!$L$5:$L$200,"未开始")=J32,"未开始","进行中")))</f>
        <v/>
      </c>
      <c r="L32" s="44" t="n"/>
      <c r="M32" s="44" t="n"/>
    </row>
    <row r="33" ht="19.5" customHeight="1" s="23">
      <c r="A33" s="47" t="inlineStr">
        <is>
          <t>F19</t>
        </is>
      </c>
      <c r="B33" s="40" t="inlineStr">
        <is>
          <t>后续：功能增强</t>
        </is>
      </c>
      <c r="C33" s="40" t="inlineStr">
        <is>
          <t>品类预设</t>
        </is>
      </c>
      <c r="D33" s="40" t="inlineStr">
        <is>
          <t>每个模板按品类提供默认参数，调一次同品类通用</t>
        </is>
      </c>
      <c r="E33" s="40" t="inlineStr">
        <is>
          <t>依赖 F01 模板结构</t>
        </is>
      </c>
      <c r="F33" s="33" t="inlineStr">
        <is>
          <t>中</t>
        </is>
      </c>
      <c r="G33" s="42" t="inlineStr"/>
      <c r="H33" s="40" t="inlineStr">
        <is>
          <t>痛点解决方案 S4</t>
        </is>
      </c>
      <c r="I33" s="42" t="inlineStr">
        <is>
          <t>T05</t>
        </is>
      </c>
      <c r="J33" s="47">
        <f>COUNTIF(开发任务!$D$5:$D$200,A33)</f>
        <v/>
      </c>
      <c r="K33" s="33">
        <f>IF(J33=0,"—",IF(COUNTIFS(开发任务!$D$5:$D$200,A33,开发任务!$L$5:$L$200,"已完成")=J33,"已完成",IF(COUNTIFS(开发任务!$D$5:$D$200,A33,开发任务!$L$5:$L$200,"未开始")=J33,"未开始","进行中")))</f>
        <v/>
      </c>
      <c r="L33" s="44" t="n"/>
      <c r="M33" s="44" t="n"/>
    </row>
    <row r="34" ht="35" customHeight="1" s="23">
      <c r="A34" s="47" t="inlineStr">
        <is>
          <t>F12</t>
        </is>
      </c>
      <c r="B34" s="40" t="inlineStr">
        <is>
          <t>后续：功能增强</t>
        </is>
      </c>
      <c r="C34" s="40" t="inlineStr">
        <is>
          <t>品牌资料包</t>
        </is>
      </c>
      <c r="D34" s="40" t="inlineStr">
        <is>
          <t>Logo、品牌色、偏好背景、风格参考图存成资料包，作为参考图和参数传给工作流</t>
        </is>
      </c>
      <c r="E34" s="40" t="inlineStr">
        <is>
          <t>依赖 F01</t>
        </is>
      </c>
      <c r="F34" s="33" t="inlineStr">
        <is>
          <t>中</t>
        </is>
      </c>
      <c r="G34" s="42" t="inlineStr"/>
      <c r="H34" s="40" t="inlineStr">
        <is>
          <t>痛点调整</t>
        </is>
      </c>
      <c r="I34" s="42" t="inlineStr">
        <is>
          <t>T17</t>
        </is>
      </c>
      <c r="J34" s="47">
        <f>COUNTIF(开发任务!$D$5:$D$200,A34)</f>
        <v/>
      </c>
      <c r="K34" s="33">
        <f>IF(J34=0,"—",IF(COUNTIFS(开发任务!$D$5:$D$200,A34,开发任务!$L$5:$L$200,"已完成")=J34,"已完成",IF(COUNTIFS(开发任务!$D$5:$D$200,A34,开发任务!$L$5:$L$200,"未开始")=J34,"未开始","进行中")))</f>
        <v/>
      </c>
      <c r="L34" s="44" t="n"/>
      <c r="M34" s="44" t="n"/>
    </row>
    <row r="35" ht="35" customHeight="1" s="23">
      <c r="A35" s="47" t="inlineStr">
        <is>
          <t>F04</t>
        </is>
      </c>
      <c r="B35" s="40" t="inlineStr">
        <is>
          <t>后续：功能增强</t>
        </is>
      </c>
      <c r="C35" s="40" t="inlineStr">
        <is>
          <t>项目归档与历史</t>
        </is>
      </c>
      <c r="D35" s="40" t="inlineStr">
        <is>
          <t>一个客户或一批商品即一个项目，作品可归档，支持用相同参数重做</t>
        </is>
      </c>
      <c r="E35" s="40" t="inlineStr">
        <is>
          <t>画廊与作品索引</t>
        </is>
      </c>
      <c r="F35" s="33" t="inlineStr">
        <is>
          <t>中</t>
        </is>
      </c>
      <c r="G35" s="42" t="inlineStr"/>
      <c r="H35" s="40" t="inlineStr">
        <is>
          <t>功能规划</t>
        </is>
      </c>
      <c r="I35" s="42" t="inlineStr">
        <is>
          <t>T09、T10</t>
        </is>
      </c>
      <c r="J35" s="47">
        <f>COUNTIF(开发任务!$D$5:$D$200,A35)</f>
        <v/>
      </c>
      <c r="K35" s="33">
        <f>IF(J35=0,"—",IF(COUNTIFS(开发任务!$D$5:$D$200,A35,开发任务!$L$5:$L$200,"已完成")=J35,"已完成",IF(COUNTIFS(开发任务!$D$5:$D$200,A35,开发任务!$L$5:$L$200,"未开始")=J35,"未开始","进行中")))</f>
        <v/>
      </c>
      <c r="L35" s="44" t="n"/>
      <c r="M35" s="44" t="n"/>
    </row>
    <row r="36" ht="50.5" customHeight="1" s="23">
      <c r="A36" s="47" t="inlineStr">
        <is>
          <t>F47</t>
        </is>
      </c>
      <c r="B36" s="40" t="inlineStr">
        <is>
          <t>后续：功能增强</t>
        </is>
      </c>
      <c r="C36" s="40" t="inlineStr">
        <is>
          <t>卖点图（固定版式文字）</t>
        </is>
      </c>
      <c r="D36" s="40" t="inlineStr">
        <is>
          <t>按固定版式叠加用户填写的文字，文字由程序绘制，不由 AI 生成</t>
        </is>
      </c>
      <c r="E36" s="40" t="inlineStr">
        <is>
          <t>导出模块</t>
        </is>
      </c>
      <c r="F36" s="33" t="inlineStr">
        <is>
          <t>中</t>
        </is>
      </c>
      <c r="G36" s="42" t="inlineStr">
        <is>
          <t>运营友好</t>
        </is>
      </c>
      <c r="H36" s="40" t="inlineStr">
        <is>
          <t>MVP 讨论</t>
        </is>
      </c>
      <c r="I36" s="42" t="inlineStr">
        <is>
          <t>T50</t>
        </is>
      </c>
      <c r="J36" s="47">
        <f>COUNTIF(开发任务!$D$5:$D$200,A36)</f>
        <v/>
      </c>
      <c r="K36" s="33">
        <f>IF(J36=0,"—",IF(COUNTIFS(开发任务!$D$5:$D$200,A36,开发任务!$L$5:$L$200,"已完成")=J36,"已完成",IF(COUNTIFS(开发任务!$D$5:$D$200,A36,开发任务!$L$5:$L$200,"未开始")=J36,"未开始","进行中")))</f>
        <v/>
      </c>
      <c r="L36" s="44" t="n"/>
      <c r="M36" s="44" t="n"/>
    </row>
    <row r="37" ht="35" customHeight="1" s="23">
      <c r="A37" s="47" t="inlineStr">
        <is>
          <t>F48</t>
        </is>
      </c>
      <c r="B37" s="40" t="inlineStr">
        <is>
          <t>后续：功能增强</t>
        </is>
      </c>
      <c r="C37" s="40" t="inlineStr">
        <is>
          <t>商品展示视频</t>
        </is>
      </c>
      <c r="D37" s="40" t="inlineStr">
        <is>
          <t>商品展示视频模板及画廊、导出对视频的支持</t>
        </is>
      </c>
      <c r="E37" s="40" t="inlineStr">
        <is>
          <t>依赖 F01；N02</t>
        </is>
      </c>
      <c r="F37" s="33" t="inlineStr">
        <is>
          <t>中</t>
        </is>
      </c>
      <c r="G37" s="42" t="inlineStr"/>
      <c r="H37" s="40" t="inlineStr">
        <is>
          <t>功能规划</t>
        </is>
      </c>
      <c r="I37" s="42" t="inlineStr">
        <is>
          <t>T51</t>
        </is>
      </c>
      <c r="J37" s="47">
        <f>COUNTIF(开发任务!$D$5:$D$200,A37)</f>
        <v/>
      </c>
      <c r="K37" s="33">
        <f>IF(J37=0,"—",IF(COUNTIFS(开发任务!$D$5:$D$200,A37,开发任务!$L$5:$L$200,"已完成")=J37,"已完成",IF(COUNTIFS(开发任务!$D$5:$D$200,A37,开发任务!$L$5:$L$200,"未开始")=J37,"未开始","进行中")))</f>
        <v/>
      </c>
      <c r="L37" s="44" t="n"/>
      <c r="M37" s="44" t="n"/>
    </row>
    <row r="38" ht="35" customHeight="1" s="23">
      <c r="A38" s="47" t="inlineStr">
        <is>
          <t>F49</t>
        </is>
      </c>
      <c r="B38" s="40" t="inlineStr">
        <is>
          <t>后续：功能增强</t>
        </is>
      </c>
      <c r="C38" s="40" t="inlineStr">
        <is>
          <t>可见 AI 标识</t>
        </is>
      </c>
      <c r="D38" s="40" t="inlineStr">
        <is>
          <t>导出时可选加可见 AI 标识；导出含 AI 人物的作品清单</t>
        </is>
      </c>
      <c r="E38" s="40" t="inlineStr">
        <is>
          <t>导出模块</t>
        </is>
      </c>
      <c r="F38" s="33" t="inlineStr">
        <is>
          <t>中</t>
        </is>
      </c>
      <c r="G38" s="42" t="inlineStr">
        <is>
          <t>海外必做</t>
        </is>
      </c>
      <c r="H38" s="40" t="inlineStr">
        <is>
          <t>海外市场分析</t>
        </is>
      </c>
      <c r="I38" s="42" t="inlineStr">
        <is>
          <t>T20</t>
        </is>
      </c>
      <c r="J38" s="47">
        <f>COUNTIF(开发任务!$D$5:$D$200,A38)</f>
        <v/>
      </c>
      <c r="K38" s="33">
        <f>IF(J38=0,"—",IF(COUNTIFS(开发任务!$D$5:$D$200,A38,开发任务!$L$5:$L$200,"已完成")=J38,"已完成",IF(COUNTIFS(开发任务!$D$5:$D$200,A38,开发任务!$L$5:$L$200,"未开始")=J38,"未开始","进行中")))</f>
        <v/>
      </c>
      <c r="L38" s="44" t="n"/>
      <c r="M38" s="44" t="n"/>
    </row>
    <row r="39" ht="35" customHeight="1" s="23">
      <c r="A39" s="47" t="inlineStr">
        <is>
          <t>F21</t>
        </is>
      </c>
      <c r="B39" s="40" t="inlineStr">
        <is>
          <t>后续：功能增强</t>
        </is>
      </c>
      <c r="C39" s="40" t="inlineStr">
        <is>
          <t>候选图自动筛选</t>
        </is>
      </c>
      <c r="D39" s="40" t="inlineStr">
        <is>
          <t>按商品保真度给候选打分，只展示合格结果</t>
        </is>
      </c>
      <c r="E39" s="40" t="inlineStr">
        <is>
          <t>依赖 F02 商品蒙版</t>
        </is>
      </c>
      <c r="F39" s="33" t="inlineStr">
        <is>
          <t>中</t>
        </is>
      </c>
      <c r="G39" s="42" t="inlineStr"/>
      <c r="H39" s="40" t="inlineStr">
        <is>
          <t>痛点解决方案 S6</t>
        </is>
      </c>
      <c r="I39" s="42" t="inlineStr">
        <is>
          <t>T18</t>
        </is>
      </c>
      <c r="J39" s="47">
        <f>COUNTIF(开发任务!$D$5:$D$200,A39)</f>
        <v/>
      </c>
      <c r="K39" s="33">
        <f>IF(J39=0,"—",IF(COUNTIFS(开发任务!$D$5:$D$200,A39,开发任务!$L$5:$L$200,"已完成")=J39,"已完成",IF(COUNTIFS(开发任务!$D$5:$D$200,A39,开发任务!$L$5:$L$200,"未开始")=J39,"未开始","进行中")))</f>
        <v/>
      </c>
      <c r="L39" s="44" t="n"/>
      <c r="M39" s="44" t="n"/>
    </row>
    <row r="40" ht="35" customHeight="1" s="23">
      <c r="A40" s="47" t="inlineStr">
        <is>
          <t>F06</t>
        </is>
      </c>
      <c r="B40" s="40" t="inlineStr">
        <is>
          <t>后续：功能增强</t>
        </is>
      </c>
      <c r="C40" s="40" t="inlineStr">
        <is>
          <t>前后对比图导出</t>
        </is>
      </c>
      <c r="D40" s="40" t="inlineStr">
        <is>
          <t>自动生成“原图 vs 成品”对比图</t>
        </is>
      </c>
      <c r="E40" s="40" t="inlineStr">
        <is>
          <t>前端画布生成</t>
        </is>
      </c>
      <c r="F40" s="33" t="inlineStr">
        <is>
          <t>低</t>
        </is>
      </c>
      <c r="G40" s="42" t="inlineStr"/>
      <c r="H40" s="40" t="inlineStr">
        <is>
          <t>功能规划</t>
        </is>
      </c>
      <c r="I40" s="42" t="inlineStr">
        <is>
          <t>T12</t>
        </is>
      </c>
      <c r="J40" s="47">
        <f>COUNTIF(开发任务!$D$5:$D$200,A40)</f>
        <v/>
      </c>
      <c r="K40" s="33">
        <f>IF(J40=0,"—",IF(COUNTIFS(开发任务!$D$5:$D$200,A40,开发任务!$L$5:$L$200,"已完成")=J40,"已完成",IF(COUNTIFS(开发任务!$D$5:$D$200,A40,开发任务!$L$5:$L$200,"未开始")=J40,"未开始","进行中")))</f>
        <v/>
      </c>
      <c r="L40" s="44" t="n"/>
      <c r="M40" s="44" t="n"/>
    </row>
    <row r="41" ht="35" customHeight="1" s="23">
      <c r="A41" s="47" t="inlineStr">
        <is>
          <t>F26</t>
        </is>
      </c>
      <c r="B41" s="40" t="inlineStr">
        <is>
          <t>后续：功能增强</t>
        </is>
      </c>
      <c r="C41" s="40" t="inlineStr">
        <is>
          <t>PSD 分层导出</t>
        </is>
      </c>
      <c r="D41" s="40" t="inlineStr">
        <is>
          <t>商品层、背景层、文字层分层导出为 PSD</t>
        </is>
      </c>
      <c r="E41" s="40" t="inlineStr">
        <is>
          <t>依赖 F02 商品蒙版</t>
        </is>
      </c>
      <c r="F41" s="33" t="inlineStr">
        <is>
          <t>低</t>
        </is>
      </c>
      <c r="G41" s="42" t="inlineStr"/>
      <c r="H41" s="40" t="inlineStr">
        <is>
          <t>竞品启发（EcomGen）</t>
        </is>
      </c>
      <c r="I41" s="42" t="inlineStr">
        <is>
          <t>T31</t>
        </is>
      </c>
      <c r="J41" s="47">
        <f>COUNTIF(开发任务!$D$5:$D$200,A41)</f>
        <v/>
      </c>
      <c r="K41" s="33">
        <f>IF(J41=0,"—",IF(COUNTIFS(开发任务!$D$5:$D$200,A41,开发任务!$L$5:$L$200,"已完成")=J41,"已完成",IF(COUNTIFS(开发任务!$D$5:$D$200,A41,开发任务!$L$5:$L$200,"未开始")=J41,"未开始","进行中")))</f>
        <v/>
      </c>
      <c r="L41" s="44" t="n"/>
      <c r="M41" s="44" t="n"/>
    </row>
    <row r="42" ht="35" customHeight="1" s="23">
      <c r="A42" s="47" t="inlineStr">
        <is>
          <t>F09</t>
        </is>
      </c>
      <c r="B42" s="40" t="inlineStr">
        <is>
          <t>后续：功能增强</t>
        </is>
      </c>
      <c r="C42" s="40" t="inlineStr">
        <is>
          <t>模板导入导出</t>
        </is>
      </c>
      <c r="D42" s="40" t="inlineStr">
        <is>
          <t>模板包文件格式，管理员可导入导出，为付费模板包铺路</t>
        </is>
      </c>
      <c r="E42" s="40" t="inlineStr">
        <is>
          <t>依赖 F01；沿用审核流程</t>
        </is>
      </c>
      <c r="F42" s="33" t="inlineStr">
        <is>
          <t>中</t>
        </is>
      </c>
      <c r="G42" s="42" t="inlineStr"/>
      <c r="H42" s="40" t="inlineStr">
        <is>
          <t>功能规划</t>
        </is>
      </c>
      <c r="I42" s="42" t="inlineStr">
        <is>
          <t>T15</t>
        </is>
      </c>
      <c r="J42" s="47">
        <f>COUNTIF(开发任务!$D$5:$D$200,A42)</f>
        <v/>
      </c>
      <c r="K42" s="33">
        <f>IF(J42=0,"—",IF(COUNTIFS(开发任务!$D$5:$D$200,A42,开发任务!$L$5:$L$200,"已完成")=J42,"已完成",IF(COUNTIFS(开发任务!$D$5:$D$200,A42,开发任务!$L$5:$L$200,"未开始")=J42,"未开始","进行中")))</f>
        <v/>
      </c>
      <c r="L42" s="44" t="n"/>
      <c r="M42" s="44" t="n"/>
    </row>
    <row r="43" ht="97" customHeight="1" s="23">
      <c r="A43" s="47" t="inlineStr">
        <is>
          <t>F27</t>
        </is>
      </c>
      <c r="B43" s="40" t="inlineStr">
        <is>
          <t>后续：功能增强</t>
        </is>
      </c>
      <c r="C43" s="40" t="inlineStr">
        <is>
          <t>兼容 ComfyUI App Mode 应用</t>
        </is>
      </c>
      <c r="D43" s="40" t="inlineStr">
        <is>
          <t>把 ComfyUI App Mode 应用作为模板导入</t>
        </is>
      </c>
      <c r="E43" s="40" t="inlineStr">
        <is>
          <t>依赖 F01、F09</t>
        </is>
      </c>
      <c r="F43" s="33" t="inlineStr">
        <is>
          <t>低</t>
        </is>
      </c>
      <c r="G43" s="42" t="inlineStr"/>
      <c r="H43" s="40" t="inlineStr">
        <is>
          <t>竞品启发（ComfyUI App Mode）</t>
        </is>
      </c>
      <c r="I43" s="42" t="inlineStr">
        <is>
          <t>T32</t>
        </is>
      </c>
      <c r="J43" s="47">
        <f>COUNTIF(开发任务!$D$5:$D$200,A43)</f>
        <v/>
      </c>
      <c r="K43" s="33">
        <f>IF(J43=0,"—",IF(COUNTIFS(开发任务!$D$5:$D$200,A43,开发任务!$L$5:$L$200,"已完成")=J43,"已完成",IF(COUNTIFS(开发任务!$D$5:$D$200,A43,开发任务!$L$5:$L$200,"未开始")=J43,"未开始","进行中")))</f>
        <v/>
      </c>
      <c r="L43" s="44" t="n"/>
      <c r="M43" s="44" t="n"/>
    </row>
    <row r="44" ht="81.5" customHeight="1" s="23">
      <c r="A44" s="47" t="inlineStr">
        <is>
          <t>F23</t>
        </is>
      </c>
      <c r="B44" s="40" t="inlineStr">
        <is>
          <t>后续：功能增强</t>
        </is>
      </c>
      <c r="C44" s="40" t="inlineStr">
        <is>
          <t>Apple 芯片 Mac 一键安装</t>
        </is>
      </c>
      <c r="D44" s="40" t="inlineStr">
        <is>
          <t>macOS 上自动安装并启动本机 ComfyUI</t>
        </is>
      </c>
      <c r="E44" s="40" t="inlineStr">
        <is>
          <t>src/Core/Installation.cs、launch-macos.sh</t>
        </is>
      </c>
      <c r="F44" s="33" t="inlineStr">
        <is>
          <t>低</t>
        </is>
      </c>
      <c r="G44" s="42" t="inlineStr">
        <is>
          <t>海外必做</t>
        </is>
      </c>
      <c r="H44" s="40" t="inlineStr">
        <is>
          <t>海外市场分析</t>
        </is>
      </c>
      <c r="I44" s="42" t="inlineStr">
        <is>
          <t>T21</t>
        </is>
      </c>
      <c r="J44" s="47">
        <f>COUNTIF(开发任务!$D$5:$D$200,A44)</f>
        <v/>
      </c>
      <c r="K44" s="33">
        <f>IF(J44=0,"—",IF(COUNTIFS(开发任务!$D$5:$D$200,A44,开发任务!$L$5:$L$200,"已完成")=J44,"已完成",IF(COUNTIFS(开发任务!$D$5:$D$200,A44,开发任务!$L$5:$L$200,"未开始")=J44,"未开始","进行中")))</f>
        <v/>
      </c>
      <c r="L44" s="44" t="n"/>
      <c r="M44" s="44" t="n"/>
    </row>
    <row r="45" ht="35" customHeight="1" s="23">
      <c r="A45" s="47" t="inlineStr">
        <is>
          <t>F11</t>
        </is>
      </c>
      <c r="B45" s="40" t="inlineStr">
        <is>
          <t>后续：团队与商业化</t>
        </is>
      </c>
      <c r="C45" s="40" t="inlineStr">
        <is>
          <t>角色与权限细分</t>
        </is>
      </c>
      <c r="D45" s="40" t="inlineStr">
        <is>
          <t>在已有 EcomCraft 权限上预置管理员、设计师、运营、审核等角色</t>
        </is>
      </c>
      <c r="E45" s="40" t="inlineStr">
        <is>
          <t>src/Accounts；需求文档第 4 节</t>
        </is>
      </c>
      <c r="F45" s="33" t="inlineStr">
        <is>
          <t>中</t>
        </is>
      </c>
      <c r="G45" s="42" t="inlineStr"/>
      <c r="H45" s="40" t="inlineStr">
        <is>
          <t>功能规划</t>
        </is>
      </c>
      <c r="I45" s="42" t="inlineStr">
        <is>
          <t>T23</t>
        </is>
      </c>
      <c r="J45" s="47">
        <f>COUNTIF(开发任务!$D$5:$D$200,A45)</f>
        <v/>
      </c>
      <c r="K45" s="33">
        <f>IF(J45=0,"—",IF(COUNTIFS(开发任务!$D$5:$D$200,A45,开发任务!$L$5:$L$200,"已完成")=J45,"已完成",IF(COUNTIFS(开发任务!$D$5:$D$200,A45,开发任务!$L$5:$L$200,"未开始")=J45,"未开始","进行中")))</f>
        <v/>
      </c>
      <c r="L45" s="44" t="n"/>
      <c r="M45" s="44" t="n"/>
    </row>
    <row r="46" ht="35" customHeight="1" s="23">
      <c r="A46" s="47" t="inlineStr">
        <is>
          <t>F13</t>
        </is>
      </c>
      <c r="B46" s="40" t="inlineStr">
        <is>
          <t>后续：团队与商业化</t>
        </is>
      </c>
      <c r="C46" s="40" t="inlineStr">
        <is>
          <t>作品审核流程</t>
        </is>
      </c>
      <c r="D46" s="40" t="inlineStr">
        <is>
          <t>提交后由负责人审核，通过后才能导出</t>
        </is>
      </c>
      <c r="E46" s="40" t="inlineStr">
        <is>
          <t>依赖 F11</t>
        </is>
      </c>
      <c r="F46" s="33" t="inlineStr">
        <is>
          <t>中</t>
        </is>
      </c>
      <c r="G46" s="42" t="inlineStr"/>
      <c r="H46" s="40" t="inlineStr">
        <is>
          <t>功能规划</t>
        </is>
      </c>
      <c r="I46" s="42" t="inlineStr">
        <is>
          <t>T24</t>
        </is>
      </c>
      <c r="J46" s="47">
        <f>COUNTIF(开发任务!$D$5:$D$200,A46)</f>
        <v/>
      </c>
      <c r="K46" s="33">
        <f>IF(J46=0,"—",IF(COUNTIFS(开发任务!$D$5:$D$200,A46,开发任务!$L$5:$L$200,"已完成")=J46,"已完成",IF(COUNTIFS(开发任务!$D$5:$D$200,A46,开发任务!$L$5:$L$200,"未开始")=J46,"未开始","进行中")))</f>
        <v/>
      </c>
      <c r="L46" s="44" t="n"/>
      <c r="M46" s="44" t="n"/>
    </row>
    <row r="47" ht="19.5" customHeight="1" s="23">
      <c r="A47" s="47" t="inlineStr">
        <is>
          <t>F14</t>
        </is>
      </c>
      <c r="B47" s="40" t="inlineStr">
        <is>
          <t>后续：团队与商业化</t>
        </is>
      </c>
      <c r="C47" s="40" t="inlineStr">
        <is>
          <t>用量统计</t>
        </is>
      </c>
      <c r="D47" s="40" t="inlineStr">
        <is>
          <t>按成员、时间段、执行服务器统计出图量</t>
        </is>
      </c>
      <c r="E47" s="40" t="inlineStr">
        <is>
          <t>作品索引</t>
        </is>
      </c>
      <c r="F47" s="33" t="inlineStr">
        <is>
          <t>中</t>
        </is>
      </c>
      <c r="G47" s="42" t="inlineStr"/>
      <c r="H47" s="40" t="inlineStr">
        <is>
          <t>功能规划</t>
        </is>
      </c>
      <c r="I47" s="42" t="inlineStr">
        <is>
          <t>T25</t>
        </is>
      </c>
      <c r="J47" s="47">
        <f>COUNTIF(开发任务!$D$5:$D$200,A47)</f>
        <v/>
      </c>
      <c r="K47" s="33">
        <f>IF(J47=0,"—",IF(COUNTIFS(开发任务!$D$5:$D$200,A47,开发任务!$L$5:$L$200,"已完成")=J47,"已完成",IF(COUNTIFS(开发任务!$D$5:$D$200,A47,开发任务!$L$5:$L$200,"未开始")=J47,"未开始","进行中")))</f>
        <v/>
      </c>
      <c r="L47" s="44" t="n"/>
      <c r="M47" s="44" t="n"/>
    </row>
    <row r="48" ht="35" customHeight="1" s="23">
      <c r="A48" s="47" t="inlineStr">
        <is>
          <t>F50</t>
        </is>
      </c>
      <c r="B48" s="40" t="inlineStr">
        <is>
          <t>后续：团队与商业化</t>
        </is>
      </c>
      <c r="C48" s="40" t="inlineStr">
        <is>
          <t>用户组与作品共享</t>
        </is>
      </c>
      <c r="D48" s="40" t="inlineStr">
        <is>
          <t>管理员维护用户组；作品可共享到组（平台内可见性）</t>
        </is>
      </c>
      <c r="E48" s="40" t="inlineStr">
        <is>
          <t>需求文档 R7.3、R9.3</t>
        </is>
      </c>
      <c r="F48" s="33" t="inlineStr">
        <is>
          <t>中</t>
        </is>
      </c>
      <c r="G48" s="42" t="inlineStr"/>
      <c r="H48" s="40" t="inlineStr">
        <is>
          <t>需求文档第二阶段</t>
        </is>
      </c>
      <c r="I48" s="42" t="inlineStr">
        <is>
          <t>T52</t>
        </is>
      </c>
      <c r="J48" s="47">
        <f>COUNTIF(开发任务!$D$5:$D$200,A48)</f>
        <v/>
      </c>
      <c r="K48" s="33">
        <f>IF(J48=0,"—",IF(COUNTIFS(开发任务!$D$5:$D$200,A48,开发任务!$L$5:$L$200,"已完成")=J48,"已完成",IF(COUNTIFS(开发任务!$D$5:$D$200,A48,开发任务!$L$5:$L$200,"未开始")=J48,"未开始","进行中")))</f>
        <v/>
      </c>
      <c r="L48" s="44" t="n"/>
      <c r="M48" s="44" t="n"/>
    </row>
    <row r="49" ht="35" customHeight="1" s="23">
      <c r="A49" s="47" t="inlineStr">
        <is>
          <t>F51</t>
        </is>
      </c>
      <c r="B49" s="40" t="inlineStr">
        <is>
          <t>后续：团队与商业化</t>
        </is>
      </c>
      <c r="C49" s="40" t="inlineStr">
        <is>
          <t>服务器运维</t>
        </is>
      </c>
      <c r="D49" s="40" t="inlineStr">
        <is>
          <t>维护模式、工作流一键分发、远程输出目录清理</t>
        </is>
      </c>
      <c r="E49" s="40" t="inlineStr">
        <is>
          <t>需求文档第二阶段</t>
        </is>
      </c>
      <c r="F49" s="33" t="inlineStr">
        <is>
          <t>低</t>
        </is>
      </c>
      <c r="G49" s="42" t="inlineStr"/>
      <c r="H49" s="40" t="inlineStr">
        <is>
          <t>需求文档第二阶段</t>
        </is>
      </c>
      <c r="I49" s="42" t="inlineStr">
        <is>
          <t>T53</t>
        </is>
      </c>
      <c r="J49" s="47">
        <f>COUNTIF(开发任务!$D$5:$D$200,A49)</f>
        <v/>
      </c>
      <c r="K49" s="33">
        <f>IF(J49=0,"—",IF(COUNTIFS(开发任务!$D$5:$D$200,A49,开发任务!$L$5:$L$200,"已完成")=J49,"已完成",IF(COUNTIFS(开发任务!$D$5:$D$200,A49,开发任务!$L$5:$L$200,"未开始")=J49,"未开始","进行中")))</f>
        <v/>
      </c>
      <c r="L49" s="44" t="n"/>
      <c r="M49" s="44" t="n"/>
    </row>
    <row r="50" ht="35" customHeight="1" s="23">
      <c r="A50" s="47" t="inlineStr">
        <is>
          <t>F16</t>
        </is>
      </c>
      <c r="B50" s="40" t="inlineStr">
        <is>
          <t>后续：团队与商业化</t>
        </is>
      </c>
      <c r="C50" s="40" t="inlineStr">
        <is>
          <t>付费功能授权机制</t>
        </is>
      </c>
      <c r="D50" s="40" t="inlineStr">
        <is>
          <t>许可证密钥或独立闭源扩展，与开源核心分开</t>
        </is>
      </c>
      <c r="E50" s="40" t="inlineStr">
        <is>
          <t>新增授权模块</t>
        </is>
      </c>
      <c r="F50" s="33" t="inlineStr">
        <is>
          <t>中</t>
        </is>
      </c>
      <c r="G50" s="42" t="inlineStr"/>
      <c r="H50" s="40" t="inlineStr">
        <is>
          <t>功能规划</t>
        </is>
      </c>
      <c r="I50" s="42" t="inlineStr">
        <is>
          <t>T27</t>
        </is>
      </c>
      <c r="J50" s="47">
        <f>COUNTIF(开发任务!$D$5:$D$200,A50)</f>
        <v/>
      </c>
      <c r="K50" s="33">
        <f>IF(J50=0,"—",IF(COUNTIFS(开发任务!$D$5:$D$200,A50,开发任务!$L$5:$L$200,"已完成")=J50,"已完成",IF(COUNTIFS(开发任务!$D$5:$D$200,A50,开发任务!$L$5:$L$200,"未开始")=J50,"未开始","进行中")))</f>
        <v/>
      </c>
      <c r="L50" s="44" t="n"/>
      <c r="M50" s="44" t="n"/>
    </row>
    <row r="51" ht="50.5" customHeight="1" s="23">
      <c r="A51" s="47" t="inlineStr">
        <is>
          <t>F18</t>
        </is>
      </c>
      <c r="B51" s="40" t="inlineStr">
        <is>
          <t>预留：云端与定制</t>
        </is>
      </c>
      <c r="C51" s="40" t="inlineStr">
        <is>
          <t>云端生成</t>
        </is>
      </c>
      <c r="D51" s="40" t="inlineStr">
        <is>
          <t>保留执行方抽象和三段式流程；修订规则并确认后才开发</t>
        </is>
      </c>
      <c r="E51" s="40" t="inlineStr">
        <is>
          <t>需求文档 D11、R10；与 AGENTS.md 现行规则冲突</t>
        </is>
      </c>
      <c r="F51" s="33" t="inlineStr">
        <is>
          <t>低</t>
        </is>
      </c>
      <c r="G51" s="42" t="inlineStr"/>
      <c r="H51" s="40" t="inlineStr">
        <is>
          <t>功能规划；2026-10-27 讨论</t>
        </is>
      </c>
      <c r="I51" s="42" t="inlineStr">
        <is>
          <t>T29</t>
        </is>
      </c>
      <c r="J51" s="47">
        <f>COUNTIF(开发任务!$D$5:$D$200,A51)</f>
        <v/>
      </c>
      <c r="K51" s="33">
        <f>IF(J51=0,"—",IF(COUNTIFS(开发任务!$D$5:$D$200,A51,开发任务!$L$5:$L$200,"已完成")=J51,"已完成",IF(COUNTIFS(开发任务!$D$5:$D$200,A51,开发任务!$L$5:$L$200,"未开始")=J51,"未开始","进行中")))</f>
        <v/>
      </c>
      <c r="L51" s="44" t="n"/>
      <c r="M51" s="44" t="n"/>
    </row>
    <row r="52" ht="35" customHeight="1" s="23">
      <c r="A52" s="47" t="inlineStr">
        <is>
          <t>F17</t>
        </is>
      </c>
      <c r="B52" s="40" t="inlineStr">
        <is>
          <t>预留：云端与定制</t>
        </is>
      </c>
      <c r="C52" s="40" t="inlineStr">
        <is>
          <t>品牌专属模型训练</t>
        </is>
      </c>
      <c r="D52" s="40" t="inlineStr">
        <is>
          <t>用客户商品图训练专属 LoRA；先作为付费定制服务</t>
        </is>
      </c>
      <c r="E52" s="40" t="inlineStr">
        <is>
          <t>新增训练工作流</t>
        </is>
      </c>
      <c r="F52" s="33" t="inlineStr">
        <is>
          <t>低</t>
        </is>
      </c>
      <c r="G52" s="42" t="inlineStr"/>
      <c r="H52" s="40" t="inlineStr">
        <is>
          <t>功能规划；痛点 S7</t>
        </is>
      </c>
      <c r="I52" s="42" t="inlineStr">
        <is>
          <t>T28</t>
        </is>
      </c>
      <c r="J52" s="47">
        <f>COUNTIF(开发任务!$D$5:$D$200,A52)</f>
        <v/>
      </c>
      <c r="K52" s="33">
        <f>IF(J52=0,"—",IF(COUNTIFS(开发任务!$D$5:$D$200,A52,开发任务!$L$5:$L$200,"已完成")=J52,"已完成",IF(COUNTIFS(开发任务!$D$5:$D$200,A52,开发任务!$L$5:$L$200,"未开始")=J52,"未开始","进行中")))</f>
        <v/>
      </c>
      <c r="L52" s="44" t="n"/>
      <c r="M52" s="44" t="n"/>
    </row>
  </sheetData>
  <autoFilter ref="A4:M31"/>
  <conditionalFormatting sqref="K5:K200">
    <cfRule type="expression" priority="1" dxfId="7">
      <formula>$K5="已完成"</formula>
    </cfRule>
    <cfRule type="expression" priority="2" dxfId="8">
      <formula>$K5="进行中"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2" min="1" max="1"/>
    <col width="8" customWidth="1" style="22" min="2" max="2"/>
    <col width="20" customWidth="1" style="22" min="3" max="3"/>
    <col width="8" customWidth="1" style="22" min="4" max="4"/>
    <col width="26" customWidth="1" style="22" min="5" max="5"/>
    <col width="32" customWidth="1" style="22" min="6" max="6"/>
    <col width="14" customWidth="1" style="22" min="7" max="7"/>
    <col width="6" customWidth="1" style="22" min="8" max="8"/>
    <col width="36" customWidth="1" style="22" min="9" max="9"/>
    <col width="26" customWidth="1" style="22" min="10" max="10"/>
    <col width="70" customWidth="1" style="22" min="11" max="11"/>
    <col width="9" customWidth="1" style="22" min="12" max="12"/>
    <col width="12" customWidth="1" style="22" min="13" max="13"/>
    <col width="18" customWidth="1" style="22" min="14" max="14"/>
  </cols>
  <sheetData>
    <row r="1" ht="21.6" customHeight="1" s="23">
      <c r="A1" s="35" t="inlineStr">
        <is>
          <t>Claude Code 开发任务</t>
        </is>
      </c>
    </row>
    <row r="2" ht="17.15" customHeight="1" s="23">
      <c r="A2" s="29" t="inlineStr">
        <is>
          <t>按“顺序”执行；复制 K 列提示词到 Claude Code；状态从下拉选择。提示词已包含遵守 AGENTS.md 与架构文档、先出方案、中英文文档同步和完成后验证的要求。</t>
        </is>
      </c>
    </row>
    <row r="3"/>
    <row r="4" ht="32.8" customHeight="1" s="23">
      <c r="A4" s="30" t="inlineStr">
        <is>
          <t>顺序</t>
        </is>
      </c>
      <c r="B4" s="30" t="inlineStr">
        <is>
          <t>任务编号</t>
        </is>
      </c>
      <c r="C4" s="30" t="inlineStr">
        <is>
          <t>阶段</t>
        </is>
      </c>
      <c r="D4" s="30" t="inlineStr">
        <is>
          <t>功能编号</t>
        </is>
      </c>
      <c r="E4" s="30" t="inlineStr">
        <is>
          <t>任务</t>
        </is>
      </c>
      <c r="F4" s="30" t="inlineStr">
        <is>
          <t>涉及文件 / 模块</t>
        </is>
      </c>
      <c r="G4" s="30" t="inlineStr">
        <is>
          <t>依赖</t>
        </is>
      </c>
      <c r="H4" s="30" t="inlineStr">
        <is>
          <t>规模</t>
        </is>
      </c>
      <c r="I4" s="30" t="inlineStr">
        <is>
          <t>验收标准</t>
        </is>
      </c>
      <c r="J4" s="30" t="inlineStr">
        <is>
          <t>测试方式</t>
        </is>
      </c>
      <c r="K4" s="36" t="inlineStr">
        <is>
          <t>Claude Code 提示词</t>
        </is>
      </c>
      <c r="L4" s="30" t="inlineStr">
        <is>
          <t>状态</t>
        </is>
      </c>
      <c r="M4" s="30" t="inlineStr">
        <is>
          <t>完成日期</t>
        </is>
      </c>
      <c r="N4" s="30" t="inlineStr">
        <is>
          <t>备注</t>
        </is>
      </c>
    </row>
    <row r="5" ht="283" customHeight="1" s="23">
      <c r="A5" s="47" t="n">
        <v>1</v>
      </c>
      <c r="B5" s="47" t="inlineStr">
        <is>
          <t>T00</t>
        </is>
      </c>
      <c r="C5" s="40" t="inlineStr">
        <is>
          <t>MVP-A：平台底座</t>
        </is>
      </c>
      <c r="D5" s="33" t="inlineStr">
        <is>
          <t>基础</t>
        </is>
      </c>
      <c r="E5" s="40" t="inlineStr">
        <is>
          <t>创建 CLAUDE.md 并导入 AGENTS.md</t>
        </is>
      </c>
      <c r="F5" s="42" t="inlineStr">
        <is>
          <t>CLAUDE.md（仓库根目录）</t>
        </is>
      </c>
      <c r="G5" s="42" t="inlineStr">
        <is>
          <t>—</t>
        </is>
      </c>
      <c r="H5" s="47" t="inlineStr">
        <is>
          <t>S</t>
        </is>
      </c>
      <c r="I5" s="42" t="inlineStr">
        <is>
          <t>Claude Code 启动时同时加载 CLAUDE.md 与 AGENTS.md；CLAUDE.md 写明常用命令、架构文档、需求文档和开发总表的位置以及中英文文档要求</t>
        </is>
      </c>
      <c r="J5" s="40" t="inlineStr">
        <is>
          <t>新开会话，询问本项目的 EcomCraft 规则和文档位置，应能正确回答</t>
        </is>
      </c>
      <c r="K5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任务：在仓库根目录创建 CLAUDE.md：第一行用 @AGENTS.md 导入现有规则；补充 EcomCraft 常用的构建与检查命令（先查看仓库中实际存在的脚本和测试，不要编造命令；注意 .gitignore 忽略了 Tests/ 目录）、“修改 C# 扩展后需按 AGENTS.md 重新构建扩展”的提醒，以及架构文档、需求文档和本开发总表（docs/EcomCraft 开发总表.xlsx）的位置。保持在 60 行以内，不要重复 AGENTS.md 已有内容。
完成后：运行相关测试，执行 git diff --check，按 ecomcraft-docs-sync 技能同步文档，并列出改动文件和你做过的验证。</t>
        </is>
      </c>
      <c r="L5" s="46" t="inlineStr">
        <is>
          <t>已完成</t>
        </is>
      </c>
      <c r="M5" s="38" t="inlineStr">
        <is>
          <t>2026-10-27</t>
        </is>
      </c>
      <c r="N5" s="44" t="n"/>
    </row>
    <row r="6" ht="283" customHeight="1" s="23">
      <c r="A6" s="47" t="n">
        <v>2</v>
      </c>
      <c r="B6" s="47" t="inlineStr">
        <is>
          <t>T33</t>
        </is>
      </c>
      <c r="C6" s="40" t="inlineStr">
        <is>
          <t>MVP-A：平台底座</t>
        </is>
      </c>
      <c r="D6" s="33" t="inlineStr">
        <is>
          <t>F28</t>
        </is>
      </c>
      <c r="E6" s="40" t="inlineStr">
        <is>
          <t>局域网多服务器实测（步骤 0–3）</t>
        </is>
      </c>
      <c r="F6" s="42" t="inlineStr">
        <is>
          <t>Studio/ExecutionServers.cs、WorkflowDiscovery.cs、WorkflowReview*.cs；需求文档第 9、10 节</t>
        </is>
      </c>
      <c r="G6" s="42" t="inlineStr">
        <is>
          <t>T00；N08</t>
        </is>
      </c>
      <c r="H6" s="47" t="inlineStr">
        <is>
          <t>M</t>
        </is>
      </c>
      <c r="I6" s="42" t="inlineStr">
        <is>
          <t>扩展编译通过；A 能登记 B 并显示在线；B 上保存的工作流 1 分钟内进入待审核；审核通过后能在 B 上生成并回传；V1–V3 结论写入需求文档中英文版</t>
        </is>
      </c>
      <c r="J6" s="40" t="inlineStr">
        <is>
          <t>两台电脑实测，逐条对照需求文档 R1–R3 验收标准</t>
        </is>
      </c>
      <c r="K6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涉及局域网平台的需求以 docs/EcomCraft 局域网多服务器平台需求.zh-CN.md 为准，需求有变化先改该文档（中英文）。
任务：验证局域网多服务器第一阶段步骤 1–3（代码已完成但尚未编译和实测）。按 ecomcraft-build-run 技能编译并启动；按需求文档 R1–R3 的验收标准逐条验证；把 V1–V3 的实测结论和发现的问题写回需求文档（中英文）第 9、10 节。发现缺陷时先列出问题和修复方案，我确认后再改。
完成后：运行相关测试，执行 git diff --check，按 ecomcraft-docs-sync 技能同步文档，并列出改动文件和你做过的验证。</t>
        </is>
      </c>
      <c r="L6" s="46" t="inlineStr">
        <is>
          <t>进行中</t>
        </is>
      </c>
      <c r="M6" s="38" t="inlineStr">
        <is>
          <t>2026-10-27</t>
        </is>
      </c>
      <c r="N6" s="44" t="inlineStr">
        <is>
          <t>静态审查完成；两台电脑实测与 V1–V3 结论待 N08 测试环境</t>
        </is>
      </c>
    </row>
    <row r="7" ht="329.5" customHeight="1" s="23">
      <c r="A7" s="47" t="n">
        <v>3</v>
      </c>
      <c r="B7" s="47" t="inlineStr">
        <is>
          <t>T34</t>
        </is>
      </c>
      <c r="C7" s="40" t="inlineStr">
        <is>
          <t>MVP-A：平台底座</t>
        </is>
      </c>
      <c r="D7" s="33" t="inlineStr">
        <is>
          <t>F29</t>
        </is>
      </c>
      <c r="E7" s="40" t="inlineStr">
        <is>
          <t>调用与自动调度（执行方抽象）</t>
        </is>
      </c>
      <c r="F7" s="42" t="inlineStr">
        <is>
          <t>Studio/ExecutionServers.cs、新增 Studio/Generation/、StudioApi.cs</t>
        </is>
      </c>
      <c r="G7" s="42" t="inlineStr">
        <is>
          <t>T33</t>
        </is>
      </c>
      <c r="H7" s="47" t="inlineStr">
        <is>
          <t>L</t>
        </is>
      </c>
      <c r="I7" s="42" t="inlineStr">
        <is>
          <t>按规则 1 选择排队最少且具备所需节点和模型的服务器；排队数计入他人直接提交到 ComfyUI 的任务；可限定服务器并在繁忙时提示；无可用服务器时说明原因；执行方抽象包含云端类型但不实现</t>
        </is>
      </c>
      <c r="J7" s="40" t="inlineStr">
        <is>
          <t>C# 回归测试覆盖选择逻辑；两台电脑实测</t>
        </is>
      </c>
      <c r="K7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涉及局域网平台的需求以 docs/EcomCraft 局域网多服务器平台需求.zh-CN.md 为准，需求有变化先改该文档（中英文）。
任务：实现需求文档第一阶段步骤 4（R4、R5、R10.1）。调度按统一的“执行方”抽象实现，类型包含本机 ComfyUI、局域网 ComfyUI、云端 ComfyUI、云端模型 API；后两类只保留类型，不实现、不发任何请求。规则 1：筛选具备全部节点和模型的在线执行方，选排队最少者，排队数按 R5.2 计算。支持“只在某台服务器执行”和繁忙提示（R5.4）。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7" s="46" t="inlineStr">
        <is>
          <t>已完成</t>
        </is>
      </c>
      <c r="M7" s="38" t="inlineStr">
        <is>
          <t>2026-10-27</t>
        </is>
      </c>
      <c r="N7" s="44" t="inlineStr">
        <is>
          <t>原 T26（多机多显卡）已并入本任务</t>
        </is>
      </c>
    </row>
    <row r="8" ht="298.5" customHeight="1" s="23">
      <c r="A8" s="47" t="n">
        <v>4</v>
      </c>
      <c r="B8" s="47" t="inlineStr">
        <is>
          <t>T35</t>
        </is>
      </c>
      <c r="C8" s="40" t="inlineStr">
        <is>
          <t>MVP-A：平台底座</t>
        </is>
      </c>
      <c r="D8" s="33" t="inlineStr">
        <is>
          <t>F30</t>
        </is>
      </c>
      <c r="E8" s="40" t="inlineStr">
        <is>
          <t>队列、失败改派与画廊</t>
        </is>
      </c>
      <c r="F8" s="42" t="inlineStr">
        <is>
          <t>studio.js、index.html、StudioApi.cs</t>
        </is>
      </c>
      <c r="G8" s="42" t="inlineStr">
        <is>
          <t>T34</t>
        </is>
      </c>
      <c r="H8" s="47" t="inlineStr">
        <is>
          <t>M</t>
        </is>
      </c>
      <c r="I8" s="42" t="inlineStr">
        <is>
          <t>执行中掉线直接报失败并提供改派按钮；画廊显示工作流名、实际执行服务器和时间；队列页显示每台服务器状态</t>
        </is>
      </c>
      <c r="J8" s="40" t="inlineStr">
        <is>
          <t>实测：生成过程中关闭 B 的 ComfyUI</t>
        </is>
      </c>
      <c r="K8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涉及局域网平台的需求以 docs/EcomCraft 局域网多服务器平台需求.zh-CN.md 为准，需求有变化先改该文档（中英文）。
任务：完成需求文档步骤 5（R6、R7.1–R7.2、R8）。队列显示已部分完成，先核对现状再补齐：掉线报失败、“改派到其他服务器”按钮、画廊显示实际执行服务器。错误信息不得包含堆栈、地址、提示词或节点图。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8" s="46" t="inlineStr">
        <is>
          <t>已完成</t>
        </is>
      </c>
      <c r="M8" s="38" t="inlineStr">
        <is>
          <t>2026-10-27</t>
        </is>
      </c>
      <c r="N8" s="44" t="n"/>
    </row>
    <row r="9" ht="298.5" customHeight="1" s="23">
      <c r="A9" s="47" t="n">
        <v>5</v>
      </c>
      <c r="B9" s="47" t="inlineStr">
        <is>
          <t>T36</t>
        </is>
      </c>
      <c r="C9" s="40" t="inlineStr">
        <is>
          <t>MVP-A：平台底座</t>
        </is>
      </c>
      <c r="D9" s="33" t="inlineStr">
        <is>
          <t>F31</t>
        </is>
      </c>
      <c r="E9" s="40" t="inlineStr">
        <is>
          <t>多人登录与局域网部署指南</t>
        </is>
      </c>
      <c r="F9" s="42" t="inlineStr">
        <is>
          <t>新增中英文部署文档；README.md、README.en.md、docs 索引</t>
        </is>
      </c>
      <c r="G9" s="42" t="inlineStr">
        <is>
          <t>T35</t>
        </is>
      </c>
      <c r="H9" s="47" t="inlineStr">
        <is>
          <t>M</t>
        </is>
      </c>
      <c r="I9" s="42" t="inlineStr">
        <is>
          <t>部署文档说明账号登录、MaxQueued、防火墙、共享存储可见性和局域网 HTTPS 限制；中英文一致</t>
        </is>
      </c>
      <c r="J9" s="40" t="inlineStr">
        <is>
          <t>按文档在一台新电脑上从零部署一遍</t>
        </is>
      </c>
      <c r="K9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涉及局域网平台的需求以 docs/EcomCraft 局域网多服务器平台需求.zh-CN.md 为准，需求有变化先改该文档（中英文）。
任务：完成需求文档步骤 6（R9.1–R9.2 与安全要求）。编写局域网部署指南（中英文两份）：开启账号登录、按角色配置 MaxQueued、局域网服务器防火墙只对平台服务器开放 ComfyUI 端口、作品放在共享存储时的可见性（D9）、用 http 局域网地址访问时浏览器会禁用哪些功能。先检查 SwarmUI 现有的 Sharing Your Swarm 等文档能否引用，避免重复。
完成后：运行相关测试，执行 git diff --check，按 ecomcraft-docs-sync 技能同步文档，并列出改动文件和你做过的验证。</t>
        </is>
      </c>
      <c r="L9" s="46" t="inlineStr">
        <is>
          <t>已完成</t>
        </is>
      </c>
      <c r="M9" s="38" t="inlineStr">
        <is>
          <t>2026-10-27</t>
        </is>
      </c>
      <c r="N9" s="44" t="n"/>
    </row>
    <row r="10" ht="345" customHeight="1" s="23">
      <c r="A10" s="47" t="n">
        <v>6</v>
      </c>
      <c r="B10" s="47" t="inlineStr">
        <is>
          <t>T37</t>
        </is>
      </c>
      <c r="C10" s="40" t="inlineStr">
        <is>
          <t>MVP-A：平台底座</t>
        </is>
      </c>
      <c r="D10" s="33" t="inlineStr">
        <is>
          <t>F32</t>
        </is>
      </c>
      <c r="E10" s="40" t="inlineStr">
        <is>
          <t>作品存储位置（本机 / NAS / 共享文件夹）</t>
        </is>
      </c>
      <c r="F10" s="42" t="inlineStr">
        <is>
          <t>新增 Studio/Storage/；管理设置界面</t>
        </is>
      </c>
      <c r="G10" s="42" t="inlineStr">
        <is>
          <t>T35；N08</t>
        </is>
      </c>
      <c r="H10" s="47" t="inlineStr">
        <is>
          <t>L</t>
        </is>
      </c>
      <c r="I10" s="42" t="inlineStr">
        <is>
          <t>需求文档 R11 的验收标准全部通过</t>
        </is>
      </c>
      <c r="J10" s="40" t="inlineStr">
        <is>
          <t>C# 测试路径校验与同步队列；实测：生成过程中断开 NAS</t>
        </is>
      </c>
      <c r="K10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涉及局域网平台的需求以 docs/EcomCraft 局域网多服务器平台需求.zh-CN.md 为准，需求有变化先改该文档（中英文）。
任务：实现需求文档步骤 7（R11 作品存储）。作品库位置和导出位置由管理员设置（本机目录、UNC 路径、系统挂载目录），保存时检测可写、空间和速度；生成结果先写本机再后台同步，失败排队重试，画廊显示“待同步”；作品索引和缩略图留在本机；修改位置后旧作品仍可浏览，并提供可选迁移（复制、校验、再删除，可取消）。系统数据固定在 Data/。客户端不得提交路径。先调查 SwarmUI 现有 OutputPath 和画廊读取逻辑，尽量复用，不改核心。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10" s="46" t="inlineStr">
        <is>
          <t>已完成</t>
        </is>
      </c>
      <c r="M10" s="38" t="inlineStr">
        <is>
          <t>2026-10-28</t>
        </is>
      </c>
      <c r="N10" s="44" t="n"/>
    </row>
    <row r="11" ht="298.5" customHeight="1" s="23">
      <c r="A11" s="47" t="n">
        <v>7</v>
      </c>
      <c r="B11" s="47" t="inlineStr">
        <is>
          <t>T22</t>
        </is>
      </c>
      <c r="C11" s="40" t="inlineStr">
        <is>
          <t>MVP-A：平台底座</t>
        </is>
      </c>
      <c r="D11" s="33" t="inlineStr">
        <is>
          <t>F24</t>
        </is>
      </c>
      <c r="E11" s="40" t="inlineStr">
        <is>
          <t>工作台中英文国际化</t>
        </is>
      </c>
      <c r="F11" s="42" t="inlineStr">
        <is>
          <t>Studio/index.html、studio.js；新增 i18n.js、languages/</t>
        </is>
      </c>
      <c r="G11" s="42" t="inlineStr">
        <is>
          <t>T00</t>
        </is>
      </c>
      <c r="H11" s="47" t="inlineStr">
        <is>
          <t>L</t>
        </is>
      </c>
      <c r="I11" s="42" t="inlineStr">
        <is>
          <t>工作台所有界面文字可在中文和英文间切换；新增文字必须走翻译表；英文模式下无残留中文</t>
        </is>
      </c>
      <c r="J11" s="40" t="inlineStr">
        <is>
          <t>node 测试：英文模式下界面不残留中文字符串</t>
        </is>
      </c>
      <c r="K11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任务：为 EcomCraft 工作台建立中英文国际化。先调查 SwarmUI 现有 languages/ 与 translator.js 能否复用；建立翻译表和加载机制，把 index.html 与 studio.js 中现有中文文案迁入并补齐英文；语言选择记在浏览器（localStorage 读写放在 try/catch 中）。加一个测试：英文模式下界面不残留中文。在 ecomcraft-studio-ui 技能中补充“新文字必须走翻译表”的约定。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11" s="46" t="inlineStr">
        <is>
          <t>已完成</t>
        </is>
      </c>
      <c r="M11" s="38" t="inlineStr">
        <is>
          <t>2026-10-28</t>
        </is>
      </c>
      <c r="N11" s="44" t="inlineStr">
        <is>
          <t>尽早完成，之后的新功能直接双语开发</t>
        </is>
      </c>
    </row>
    <row r="12" ht="298.5" customHeight="1" s="23">
      <c r="A12" s="47" t="n">
        <v>8</v>
      </c>
      <c r="B12" s="47" t="inlineStr">
        <is>
          <t>T01</t>
        </is>
      </c>
      <c r="C12" s="40" t="inlineStr">
        <is>
          <t>MVP-B：电商出图</t>
        </is>
      </c>
      <c r="D12" s="33" t="inlineStr">
        <is>
          <t>F01</t>
        </is>
      </c>
      <c r="E12" s="40" t="inlineStr">
        <is>
          <t>模板数据结构（基于审核快照）</t>
        </is>
      </c>
      <c r="F12" s="42" t="inlineStr">
        <is>
          <t>新增 Studio/Templates/；WorkflowReview.cs；EcomCraft.cs</t>
        </is>
      </c>
      <c r="G12" s="42" t="inlineStr">
        <is>
          <t>T34</t>
        </is>
      </c>
      <c r="H12" s="47" t="inlineStr">
        <is>
          <t>M</t>
        </is>
      </c>
      <c r="I12" s="42" t="inlineStr">
        <is>
          <t>模板只能引用已发布快照及其白名单参数；包含中英文名称、示例图、适用平台、所属套图，并预留 categories、brand_kit、execution_plans 字段；非法模板被拒绝并记录原因</t>
        </is>
      </c>
      <c r="J12" s="40" t="inlineStr">
        <is>
          <t>C# 回归测试覆盖合法和非法模板</t>
        </is>
      </c>
      <c r="K12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任务：设计电商场景模板。模板 = 已发布的审核快照（WorkflowReview）+ 电商信息：中英文名称与说明、示例图、适用平台、所属套图、参数预设和提示词片段；预留 categories（品类预设）、brand_kit（品牌资料包）和 execution_plans（多个执行方案，本期只有本地方案）字段。不要另建一套与快照重复的工作流结构。内置模板与管理员自定义模板分开存放。补充一个无需 GPU 的 C# 回归测试。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12" s="46" t="inlineStr">
        <is>
          <t>已完成</t>
        </is>
      </c>
      <c r="M12" s="38" t="inlineStr">
        <is>
          <t>2026-10-28</t>
        </is>
      </c>
      <c r="N12" s="44" t="n"/>
    </row>
    <row r="13" ht="298.5" customHeight="1" s="23">
      <c r="A13" s="47" t="n">
        <v>9</v>
      </c>
      <c r="B13" s="47" t="inlineStr">
        <is>
          <t>T02</t>
        </is>
      </c>
      <c r="C13" s="40" t="inlineStr">
        <is>
          <t>MVP-B：电商出图</t>
        </is>
      </c>
      <c r="D13" s="33" t="inlineStr">
        <is>
          <t>F01</t>
        </is>
      </c>
      <c r="E13" s="40" t="inlineStr">
        <is>
          <t>模板目录 API 与按模板生成</t>
        </is>
      </c>
      <c r="F13" s="42" t="inlineStr">
        <is>
          <t>StudioApi.cs（新增 EcomCraftStudioTemplates，EcomCraftStudioGenerate 支持 template_id）；EcomCraft.cs</t>
        </is>
      </c>
      <c r="G13" s="42" t="inlineStr">
        <is>
          <t>T01</t>
        </is>
      </c>
      <c r="H13" s="47" t="inlineStr">
        <is>
          <t>M</t>
        </is>
      </c>
      <c r="I13" s="42" t="inlineStr">
        <is>
          <t>目录接口只返回模板 ID、名称、说明、示例图和可调字段；按 template_id 生成时用户输入仍经白名单校验；缺少依赖的模板被隐藏并给出原因</t>
        </is>
      </c>
      <c r="J13" s="40" t="inlineStr">
        <is>
          <t>C# 回归测试 + 本机启动后调用接口</t>
        </is>
      </c>
      <c r="K13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任务：新增 API EcomCraftStudioTemplates（最小披露，按当前语言返回名称和说明），并让 EcomCraftStudioGenerate 支持 template_id：服务端把模板解析成快照与预设参数，再合并用户允许修改的字段，仍走现有白名单校验。没有执行服务器能运行该模板时，参照 WorkflowCatalogFilter 隐藏并说明原因。同步更新 README 中的接口列表和工作流文档。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13" s="46" t="inlineStr">
        <is>
          <t>已完成</t>
        </is>
      </c>
      <c r="M13" s="38" t="inlineStr">
        <is>
          <t>2026-10-28</t>
        </is>
      </c>
      <c r="N13" s="44" t="n"/>
    </row>
    <row r="14" ht="283" customHeight="1" s="23">
      <c r="A14" s="47" t="n">
        <v>10</v>
      </c>
      <c r="B14" s="47" t="inlineStr">
        <is>
          <t>T38</t>
        </is>
      </c>
      <c r="C14" s="40" t="inlineStr">
        <is>
          <t>MVP-B：电商出图</t>
        </is>
      </c>
      <c r="D14" s="33" t="inlineStr">
        <is>
          <t>F37</t>
        </is>
      </c>
      <c r="E14" s="40" t="inlineStr">
        <is>
          <t>提示词服务（一句话描述 → 提示词）</t>
        </is>
      </c>
      <c r="F14" s="42" t="inlineStr">
        <is>
          <t>新增 Studio/Prompting/；MagicPrompt</t>
        </is>
      </c>
      <c r="G14" s="42" t="inlineStr">
        <is>
          <t>T02</t>
        </is>
      </c>
      <c r="H14" s="47" t="inlineStr">
        <is>
          <t>M</t>
        </is>
      </c>
      <c r="I14" s="42" t="inlineStr">
        <is>
          <t>一句话描述（中英文均可）+ 风格 → 英文提示词；大模型输出只填入提示词文本字段；大模型不可用时退回模板默认提示词并提示；看图描述默认关闭，只有管理员可开启</t>
        </is>
      </c>
      <c r="J14" s="40" t="inlineStr">
        <is>
          <t>C# 测试输出只进入提示词字段；用中文和英文描述各手动试一次</t>
        </is>
      </c>
      <c r="K14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任务：把 MagicPrompt 封装为提示词服务。输入：模板的提示词片段、用户选的风格、可选的一句话描述（中文或英文）；输出：英文提示词。大模型输出只能作为提示词文本，不得影响工作流、参数或执行服务器。设置超时；大模型不可用或超时时退回模板默认提示词并给出白话提示。把商品图发给在线视觉模型的功能默认关闭，只有管理员能开启，并在设置中明确说明图片会发送给哪家服务商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14" s="46" t="inlineStr">
        <is>
          <t>已完成</t>
        </is>
      </c>
      <c r="M14" s="38" t="inlineStr">
        <is>
          <t>2026-10-28</t>
        </is>
      </c>
      <c r="N14" s="44" t="n"/>
    </row>
    <row r="15" ht="283" customHeight="1" s="23">
      <c r="A15" s="47" t="n">
        <v>11</v>
      </c>
      <c r="B15" s="47" t="inlineStr">
        <is>
          <t>T13</t>
        </is>
      </c>
      <c r="C15" s="40" t="inlineStr">
        <is>
          <t>MVP-B：电商出图</t>
        </is>
      </c>
      <c r="D15" s="33" t="inlineStr">
        <is>
          <t>F07</t>
        </is>
      </c>
      <c r="E15" s="40" t="inlineStr">
        <is>
          <t>三步式简易模式（默认界面）</t>
        </is>
      </c>
      <c r="F15" s="42" t="inlineStr">
        <is>
          <t>Studio/index.html、studio.js、studio.css；新增 simple.js</t>
        </is>
      </c>
      <c r="G15" s="42" t="inlineStr">
        <is>
          <t>T02；T22；T38</t>
        </is>
      </c>
      <c r="H15" s="47" t="inlineStr">
        <is>
          <t>L</t>
        </is>
      </c>
      <c r="I15" s="42" t="inlineStr">
        <is>
          <t>默认界面为三步：上传或选择商品 → 选平台和风格 → 挑图下载；没有提示词框；风格为带示例图的选项；专业参数只对管理员可见；手机宽度可用</t>
        </is>
      </c>
      <c r="J15" s="40" t="inlineStr">
        <is>
          <t>node 测试两种模式下的控件可见性；请一位不懂设计的同事试用</t>
        </is>
      </c>
      <c r="K15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任务：实现三步式简易模式，作为普通用户的默认界面：第 1 步上传商品图；第 2 步选平台、选风格（带示例图的卡片）、可选一句话描述；第 3 步查看候选图、挑选、下载。采样器、LoRA、步数等专业参数只在管理员的专业模式中出现。所有文字走翻译表；遵守现有 CSP（不引入外部脚本、不用内联脚本）；手机宽度可用。参照现有前端测试的 vm 方式加 node 测试。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15" s="46" t="inlineStr">
        <is>
          <t>已完成</t>
        </is>
      </c>
      <c r="M15" s="38" t="inlineStr">
        <is>
          <t>2026-10-28</t>
        </is>
      </c>
      <c r="N15" s="44" t="inlineStr">
        <is>
          <t>原 T03（模板选择界面）已并入本任务</t>
        </is>
      </c>
    </row>
    <row r="16" ht="329.5" customHeight="1" s="23">
      <c r="A16" s="47" t="n">
        <v>12</v>
      </c>
      <c r="B16" s="47" t="inlineStr">
        <is>
          <t>T07</t>
        </is>
      </c>
      <c r="C16" s="40" t="inlineStr">
        <is>
          <t>MVP-B：电商出图</t>
        </is>
      </c>
      <c r="D16" s="33" t="inlineStr">
        <is>
          <t>F02</t>
        </is>
      </c>
      <c r="E16" s="40" t="inlineStr">
        <is>
          <t>商品保真：原商品像素合成回生成图</t>
        </is>
      </c>
      <c r="F16" s="42" t="inlineStr">
        <is>
          <t>新增 Studio/PostProcess/；模板 preserve_product 标记；工作流需输出商品蒙版</t>
        </is>
      </c>
      <c r="G16" s="42" t="inlineStr">
        <is>
          <t>T02；N02</t>
        </is>
      </c>
      <c r="H16" s="47" t="inlineStr">
        <is>
          <t>L</t>
        </is>
      </c>
      <c r="I16" s="42" t="inlineStr">
        <is>
          <t>开启 preserve_product 的模板，最终图中商品区域与原图像素一致（边缘羽化除外）；关闭时行为不变</t>
        </is>
      </c>
      <c r="J16" s="40" t="inlineStr">
        <is>
          <t>C# 测试用合成图验证合成逻辑；用测试台人工比对</t>
        </is>
      </c>
      <c r="K16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涉及局域网平台的需求以 docs/EcomCraft 局域网多服务器平台需求.zh-CN.md 为准，需求有变化先改该文档（中英文）。
任务：为模板增加 preserve_product 选项。约定工作流额外输出商品蒙版。服务端在生成完成后用蒙版把原商品像素合成回生成图（边缘少量羽化），避免 Logo、文字、形状被改动。按“本地预处理 → 生成 → 本地后处理”三段设计（需求文档 R10.3），保证以后换成云端执行方时合成仍在本地。先调查 SwarmUI 现有的图片处理库与生成结果后处理挂钩点。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16" s="46" t="inlineStr">
        <is>
          <t>已完成</t>
        </is>
      </c>
      <c r="M16" s="38" t="inlineStr">
        <is>
          <t>2026-10-28</t>
        </is>
      </c>
      <c r="N16" s="44" t="n"/>
    </row>
    <row r="17" ht="252" customHeight="1" s="23">
      <c r="A17" s="47" t="n">
        <v>13</v>
      </c>
      <c r="B17" s="47" t="inlineStr">
        <is>
          <t>T39</t>
        </is>
      </c>
      <c r="C17" s="40" t="inlineStr">
        <is>
          <t>MVP-B：电商出图</t>
        </is>
      </c>
      <c r="D17" s="33" t="inlineStr">
        <is>
          <t>F35</t>
        </is>
      </c>
      <c r="E17" s="40" t="inlineStr">
        <is>
          <t>抠图确认与商品位置调整</t>
        </is>
      </c>
      <c r="F17" s="42" t="inlineStr">
        <is>
          <t>Studio/PostProcess/；simple.js</t>
        </is>
      </c>
      <c r="G17" s="42" t="inlineStr">
        <is>
          <t>T07；T13</t>
        </is>
      </c>
      <c r="H17" s="47" t="inlineStr">
        <is>
          <t>M</t>
        </is>
      </c>
      <c r="I17" s="42" t="inlineStr">
        <is>
          <t>生成前显示抠图结果，用户可确认或重新上传；可拖动和缩放商品在画面中的位置，合成按调整后的位置进行</t>
        </is>
      </c>
      <c r="J17" s="40" t="inlineStr">
        <is>
          <t>node 测试位置换算；在电脑和手机上手动调整</t>
        </is>
      </c>
      <c r="K17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任务：在简易模式第 1 步后加入抠图确认：显示抠图结果（先调查执行服务器上可用的抠图节点或模型），用户确认或重新上传；允许拖动和缩放商品在画布中的位置与大小，最终合成按这个位置进行。客户端只提交位置和缩放数值，由服务端校验范围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17" s="46" t="inlineStr">
        <is>
          <t>已完成</t>
        </is>
      </c>
      <c r="M17" s="38" t="inlineStr">
        <is>
          <t>2026-10-28</t>
        </is>
      </c>
      <c r="N17" s="44" t="n"/>
    </row>
    <row r="18" ht="221" customHeight="1" s="23">
      <c r="A18" s="47" t="n">
        <v>14</v>
      </c>
      <c r="B18" s="47" t="inlineStr">
        <is>
          <t>T04</t>
        </is>
      </c>
      <c r="C18" s="40" t="inlineStr">
        <is>
          <t>MVP-B：电商出图</t>
        </is>
      </c>
      <c r="D18" s="33" t="inlineStr">
        <is>
          <t>F01</t>
        </is>
      </c>
      <c r="E18" s="40" t="inlineStr">
        <is>
          <t>内置 4 个电商场景模板</t>
        </is>
      </c>
      <c r="F18" s="42" t="inlineStr">
        <is>
          <t>Studio/Templates/ 内置模板；中英文文档</t>
        </is>
      </c>
      <c r="G18" s="42" t="inlineStr">
        <is>
          <t>T02；N02；N09</t>
        </is>
      </c>
      <c r="H18" s="47" t="inlineStr">
        <is>
          <t>M</t>
        </is>
      </c>
      <c r="I18" s="42" t="inlineStr">
        <is>
          <t>4 个模板通过校验；对应工作流未安装时显示“缺少工作流”而不是报错；名称和说明中英文齐全</t>
        </is>
      </c>
      <c r="J18" s="40" t="inlineStr">
        <is>
          <t>C# 回归测试加载全部内置模板</t>
        </is>
      </c>
      <c r="K18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任务：新增 4 个内置模板定义：白底主图、场景图、细节图、模特或手持图（卖点图和视频留到后续）。工作流由外部专家制作，暂用约定的工作流名称占位；缺少工作流时隐藏并显示原因。为每个模板准备示例图位置。中英文文档同步说明模板用途。
完成后：运行相关测试，执行 git diff --check，按 ecomcraft-docs-sync 技能同步文档，并列出改动文件和你做过的验证。</t>
        </is>
      </c>
      <c r="L18" s="46" t="inlineStr">
        <is>
          <t>已完成</t>
        </is>
      </c>
      <c r="M18" s="38" t="inlineStr">
        <is>
          <t>2026-10-28</t>
        </is>
      </c>
      <c r="N18" s="44" t="inlineStr">
        <is>
          <t>原“卖点图”与“商品展示视频”移到后续（T50、T51）</t>
        </is>
      </c>
    </row>
    <row r="19" ht="298.5" customHeight="1" s="23">
      <c r="A19" s="47" t="n">
        <v>15</v>
      </c>
      <c r="B19" s="47" t="inlineStr">
        <is>
          <t>T06</t>
        </is>
      </c>
      <c r="C19" s="40" t="inlineStr">
        <is>
          <t>MVP-B：电商出图</t>
        </is>
      </c>
      <c r="D19" s="33" t="inlineStr">
        <is>
          <t>F20</t>
        </is>
      </c>
      <c r="E19" s="40" t="inlineStr">
        <is>
          <t>模板测试台（批量跑分工具）</t>
        </is>
      </c>
      <c r="F19" s="42" t="inlineStr">
        <is>
          <t>新增 src/Extensions/EcomCraft/Tools/template-bench（Node 脚本）；中英文说明</t>
        </is>
      </c>
      <c r="G19" s="42" t="inlineStr">
        <is>
          <t>T04；N03</t>
        </is>
      </c>
      <c r="H19" s="47" t="inlineStr">
        <is>
          <t>M</t>
        </is>
      </c>
      <c r="I19" s="42" t="inlineStr">
        <is>
          <t>指定测试商品目录和模板列表后批量生成，输出结果图与带人工评分列的 CSV / HTML 报告；可与上次报告对比；不写入 Data/、Models/</t>
        </is>
      </c>
      <c r="J19" s="40" t="inlineStr">
        <is>
          <t>对本机服务运行一次小样本（2 个商品 × 1 个模板）</t>
        </is>
      </c>
      <c r="K19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任务：写一个命令行模板测试台。输入：测试商品图目录、模板 ID 列表、平台服务地址。它依次调用按模板生成，把结果保存到用户指定的输出目录，并生成 CSV 和简单的 HTML 并排对比页，包含“合格 / 不合格 / 问题说明”空白列供人工打分；再次运行时可与上次报告对比。不得修改 Data/、Models/ 的内容。注意 .gitignore 忽略了 Tests/、tests/ 和 *-plan.md，命名时避开。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19" s="46" t="inlineStr">
        <is>
          <t>已完成</t>
        </is>
      </c>
      <c r="M19" s="38" t="inlineStr">
        <is>
          <t>2026-10-28</t>
        </is>
      </c>
      <c r="N19" s="44" t="inlineStr">
        <is>
          <t>本机服务实测 2 商品 × 1 模板：结果、CSV/HTML 报告与 --compare 对比通过</t>
        </is>
      </c>
    </row>
    <row r="20" ht="329.5" customHeight="1" s="23">
      <c r="A20" s="47" t="n">
        <v>16</v>
      </c>
      <c r="B20" s="47" t="inlineStr">
        <is>
          <t>T08</t>
        </is>
      </c>
      <c r="C20" s="40" t="inlineStr">
        <is>
          <t>MVP-B：电商出图</t>
        </is>
      </c>
      <c r="D20" s="33" t="inlineStr">
        <is>
          <t>F03</t>
        </is>
      </c>
      <c r="E20" s="40" t="inlineStr">
        <is>
          <t>一键套图与批量（多机并行、按人限流）</t>
        </is>
      </c>
      <c r="F20" s="42" t="inlineStr">
        <is>
          <t>新增 Studio/Generation/ 编排；simple.js</t>
        </is>
      </c>
      <c r="G20" s="42" t="inlineStr">
        <is>
          <t>T13；T34</t>
        </is>
      </c>
      <c r="H20" s="47" t="inlineStr">
        <is>
          <t>L</t>
        </is>
      </c>
      <c r="I20" s="42" t="inlineStr">
        <is>
          <t>选平台后一张商品图出整套图；多张商品排队；任务由调度器分派到多台服务器并行；每人同时占用的任务数受限；单张失败可单独重试，可整体取消</t>
        </is>
      </c>
      <c r="J20" s="40" t="inlineStr">
        <is>
          <t>C# 测试套图展开与限流；node 测试队列状态；两台电脑并行实测</t>
        </is>
      </c>
      <c r="K20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涉及局域网平台的需求以 docs/EcomCraft 局域网多服务器平台需求.zh-CN.md 为准，需求有变化先改该文档（中英文）。
任务：实现一键套图与批量（替代原先“并发为 1”的批量设计）。套图 = 平台对应的一组模板（如亚马逊：白底 + 场景 + 细节 + 模特），每种 N 张候选。服务端把套图和批量展开成任务，交给调度器多台并行；增加按人限流，避免一个人占满所有显卡（先在需求文档 R5 / R9 中补充规则，中英文同步）。前端显示每张图的状态，失败项可单独重试，可整体取消。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20" s="46" t="inlineStr">
        <is>
          <t>已完成</t>
        </is>
      </c>
      <c r="M20" s="38" t="inlineStr">
        <is>
          <t>2026-10-28</t>
        </is>
      </c>
      <c r="N20" s="44" t="inlineStr">
        <is>
          <t>会修改需求文档规则，务必审阅</t>
        </is>
      </c>
    </row>
    <row r="21" ht="252" customHeight="1" s="23">
      <c r="A21" s="47" t="n">
        <v>17</v>
      </c>
      <c r="B21" s="47" t="inlineStr">
        <is>
          <t>T40</t>
        </is>
      </c>
      <c r="C21" s="40" t="inlineStr">
        <is>
          <t>MVP-B：电商出图</t>
        </is>
      </c>
      <c r="D21" s="33" t="inlineStr">
        <is>
          <t>F36</t>
        </is>
      </c>
      <c r="E21" s="40" t="inlineStr">
        <is>
          <t>商品库（简版）</t>
        </is>
      </c>
      <c r="F21" s="42" t="inlineStr">
        <is>
          <t>新增 Studio/Products/；simple.js</t>
        </is>
      </c>
      <c r="G21" s="42" t="inlineStr">
        <is>
          <t>T39；T37</t>
        </is>
      </c>
      <c r="H21" s="47" t="inlineStr">
        <is>
          <t>M</t>
        </is>
      </c>
      <c r="I21" s="42" t="inlineStr">
        <is>
          <t>上传的商品自动入库，保存原图和抠图结果；再次出图时可直接选择；平台内按用户隔离；可重命名和删除</t>
        </is>
      </c>
      <c r="J21" s="40" t="inlineStr">
        <is>
          <t>C# 测试用户隔离与删除</t>
        </is>
      </c>
      <c r="K21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实现简版商品库：商品图上传后保存原图、抠图结果和确认过的位置，平台内按用户隔离，用户可重命名和删除。出图时可从商品库选择，跳过上传和抠图。商品文件存放在作品库位置（R11），索引放在本机 Data/。客户端只提交商品 ID。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21" s="46" t="inlineStr">
        <is>
          <t>已完成</t>
        </is>
      </c>
      <c r="M21" s="38" t="inlineStr">
        <is>
          <t>2026-10-28</t>
        </is>
      </c>
      <c r="N21" s="44" t="n"/>
    </row>
    <row r="22" ht="314" customHeight="1" s="23">
      <c r="A22" s="47" t="n">
        <v>18</v>
      </c>
      <c r="B22" s="47" t="inlineStr">
        <is>
          <t>T11</t>
        </is>
      </c>
      <c r="C22" s="40" t="inlineStr">
        <is>
          <t>MVP-B：电商出图</t>
        </is>
      </c>
      <c r="D22" s="33" t="inlineStr">
        <is>
          <t>F05</t>
        </is>
      </c>
      <c r="E22" s="40" t="inlineStr">
        <is>
          <t>平台导出（国内外预设、zip 或共享文件夹）</t>
        </is>
      </c>
      <c r="F22" s="42" t="inlineStr">
        <is>
          <t>新增 Studio/Export/；平台预设配置文件；导出面板</t>
        </is>
      </c>
      <c r="G22" s="42" t="inlineStr">
        <is>
          <t>T35；T37；N06</t>
        </is>
      </c>
      <c r="H22" s="47" t="inlineStr">
        <is>
          <t>L</t>
        </is>
      </c>
      <c r="I22" s="42" t="inlineStr">
        <is>
          <t>选择平台后自动按预设缩放和补边；按商品分文件夹打包 zip，或导出到共享文件夹；预设包含国内外平台和中英文名称，可在配置中修改</t>
        </is>
      </c>
      <c r="J22" s="40" t="inlineStr">
        <is>
          <t>C# 测试尺寸与补边颜色（如纯白 RGB 255,255,255）</t>
        </is>
      </c>
      <c r="K22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涉及局域网平台的需求以 docs/EcomCraft 局域网多服务器平台需求.zh-CN.md 为准，需求有变化先改该文档（中英文）。
任务：实现平台导出。平台预设放在可编辑的配置中，同时包含国内平台（淘宝 / 天猫、京东、拼多多、抖音等）和海外平台（亚马逊、Shopify、TikTok Shop 等）；先列出你打算使用的尺寸和规则并注明来源，让我确认。服务端按预设缩放、补边，按商品分文件夹打包 zip 下载，或写入管理员设置的导出位置（需求文档 R11.8）。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22" s="46" t="inlineStr">
        <is>
          <t>已完成</t>
        </is>
      </c>
      <c r="M22" s="38" t="inlineStr">
        <is>
          <t>2026-10-28</t>
        </is>
      </c>
      <c r="N22" s="44" t="n"/>
    </row>
    <row r="23" ht="283" customHeight="1" s="23">
      <c r="A23" s="47" t="n">
        <v>19</v>
      </c>
      <c r="B23" s="47" t="inlineStr">
        <is>
          <t>T19</t>
        </is>
      </c>
      <c r="C23" s="40" t="inlineStr">
        <is>
          <t>MVP-B：电商出图</t>
        </is>
      </c>
      <c r="D23" s="33" t="inlineStr">
        <is>
          <t>F22</t>
        </is>
      </c>
      <c r="E23" s="40" t="inlineStr">
        <is>
          <t>合规：亚马逊主图模式与 AI 元数据</t>
        </is>
      </c>
      <c r="F23" s="42" t="inlineStr">
        <is>
          <t>内置模板分支；Studio/Export/</t>
        </is>
      </c>
      <c r="G23" s="42" t="inlineStr">
        <is>
          <t>T04；T11；N06</t>
        </is>
      </c>
      <c r="H23" s="47" t="inlineStr">
        <is>
          <t>M</t>
        </is>
      </c>
      <c r="I23" s="42" t="inlineStr">
        <is>
          <t>亚马逊白底主图只抠图、居中、放到纯白背景，不调用生成模型；导出时检查背景纯白；AI 生成的图片导出时写入 AI 生成元数据</t>
        </is>
      </c>
      <c r="J23" s="40" t="inlineStr">
        <is>
          <t>C# 测试背景像素检查与元数据写入</t>
        </is>
      </c>
      <c r="K23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任务：1）白底主图模板在平台为亚马逊时走“纯抠图”分支：只抠图、居中、放到纯白（RGB 255,255,255）背景，不调用任何生成模型；导出时检查背景是否纯白并提示。2）导出时为 AI 生成的图片写入标明 AI 生成的元数据。先列出打算写入的元数据字段及依据让我确认（开发前先完成 N06 核对最新规则）。可见 AI 标识留到后续（T20）。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23" s="46" t="inlineStr">
        <is>
          <t>已完成</t>
        </is>
      </c>
      <c r="M23" s="38" t="inlineStr">
        <is>
          <t>2026-10-28</t>
        </is>
      </c>
      <c r="N23" s="44" t="n"/>
    </row>
    <row r="24" ht="283" customHeight="1" s="23">
      <c r="A24" s="47" t="n">
        <v>20</v>
      </c>
      <c r="B24" s="47" t="inlineStr">
        <is>
          <t>T14</t>
        </is>
      </c>
      <c r="C24" s="40" t="inlineStr">
        <is>
          <t>MVP-B：电商出图</t>
        </is>
      </c>
      <c r="D24" s="33" t="inlineStr">
        <is>
          <t>F08</t>
        </is>
      </c>
      <c r="E24" s="40" t="inlineStr">
        <is>
          <t>模型清单与商用许可标注</t>
        </is>
      </c>
      <c r="F24" s="42" t="inlineStr">
        <is>
          <t>模板增加 requirements 与 license 字段；管理视图</t>
        </is>
      </c>
      <c r="G24" s="42" t="inlineStr">
        <is>
          <t>T02；N01</t>
        </is>
      </c>
      <c r="H24" s="47" t="inlineStr">
        <is>
          <t>M</t>
        </is>
      </c>
      <c r="I24" s="42" t="inlineStr">
        <is>
          <t>管理视图显示每个模板所需的模型和节点、每台服务器缺少哪些、每个模型的商用许可状态（允许 / 禁止 / 未知）</t>
        </is>
      </c>
      <c r="J24" s="40" t="inlineStr">
        <is>
          <t>C# 测试许可字段校验</t>
        </is>
      </c>
      <c r="K24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任务：模板声明所需模型和节点（requirements）以及每个模型的许可信息（commercial：allowed / forbidden / unknown 与许可链接）。管理视图按服务器列出缺失项和许可状态，许可为 forbidden 或 unknown 时显著提示。按需求文档假设 A2，模型由管理员手动安装，本任务不做跨服务器下载，只给出下载链接和安装位置说明。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24" s="46" t="inlineStr">
        <is>
          <t>已完成</t>
        </is>
      </c>
      <c r="M24" s="38" t="inlineStr">
        <is>
          <t>2026-10-28</t>
        </is>
      </c>
      <c r="N24" s="44" t="n"/>
    </row>
    <row r="25" ht="205.5" customHeight="1" s="23">
      <c r="A25" s="47" t="n">
        <v>21</v>
      </c>
      <c r="B25" s="47" t="inlineStr">
        <is>
          <t>T41</t>
        </is>
      </c>
      <c r="C25" s="40" t="inlineStr">
        <is>
          <t>MVP-C：易用与运维</t>
        </is>
      </c>
      <c r="D25" s="33" t="inlineStr">
        <is>
          <t>F38</t>
        </is>
      </c>
      <c r="E25" s="40" t="inlineStr">
        <is>
          <t>上传质量检查</t>
        </is>
      </c>
      <c r="F25" s="42" t="inlineStr">
        <is>
          <t>simple.js；服务端检查</t>
        </is>
      </c>
      <c r="G25" s="42" t="inlineStr">
        <is>
          <t>T13</t>
        </is>
      </c>
      <c r="H25" s="47" t="inlineStr">
        <is>
          <t>S</t>
        </is>
      </c>
      <c r="I25" s="42" t="inlineStr">
        <is>
          <t>分辨率过低、模糊或商品占比过小时用白话提示原因和建议，用户可选择继续</t>
        </is>
      </c>
      <c r="J25" s="40" t="inlineStr">
        <is>
          <t>node 测试阈值判断</t>
        </is>
      </c>
      <c r="K25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任务：上传商品图时检查分辨率、清晰度（如拉普拉斯方差）和抠图后的商品占比，不达标时用白话提示原因和建议（如“请拍得更近一些”），用户可以选择继续。阈值放在配置中。
完成后：运行相关测试，执行 git diff --check，按 ecomcraft-docs-sync 技能同步文档，并列出改动文件和你做过的验证。</t>
        </is>
      </c>
      <c r="L25" s="46" t="inlineStr">
        <is>
          <t>已完成</t>
        </is>
      </c>
      <c r="M25" s="38" t="inlineStr">
        <is>
          <t>2026-10-28</t>
        </is>
      </c>
      <c r="N25" s="44" t="n"/>
    </row>
    <row r="26" ht="252" customHeight="1" s="23">
      <c r="A26" s="47" t="n">
        <v>22</v>
      </c>
      <c r="B26" s="47" t="inlineStr">
        <is>
          <t>T42</t>
        </is>
      </c>
      <c r="C26" s="40" t="inlineStr">
        <is>
          <t>MVP-C：易用与运维</t>
        </is>
      </c>
      <c r="D26" s="33" t="inlineStr">
        <is>
          <t>F39</t>
        </is>
      </c>
      <c r="E26" s="40" t="inlineStr">
        <is>
          <t>未选候选图自动清理</t>
        </is>
      </c>
      <c r="F26" s="42" t="inlineStr">
        <is>
          <t>Studio/Storage/</t>
        </is>
      </c>
      <c r="G26" s="42" t="inlineStr">
        <is>
          <t>T37；T08</t>
        </is>
      </c>
      <c r="H26" s="47" t="inlineStr">
        <is>
          <t>S</t>
        </is>
      </c>
      <c r="I26" s="42" t="inlineStr">
        <is>
          <t>未被选中、下载或导出的候选图超过设定天数后自动清理；管理员可设置天数或关闭</t>
        </is>
      </c>
      <c r="J26" s="40" t="inlineStr">
        <is>
          <t>C# 测试清理条件</t>
        </is>
      </c>
      <c r="K26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任务：实现未选候选图自动清理：记录每张候选是否被选中、下载或导出；未被使用的候选超过 N 天（默认 14 天，管理员可修改或关闭）后在后台删除，并更新作品索引。删除前再次确认文件位于作品库内，绝不删除作品库以外的文件。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26" s="46" t="inlineStr">
        <is>
          <t>已完成</t>
        </is>
      </c>
      <c r="M26" s="38" t="inlineStr">
        <is>
          <t>2026-10-28</t>
        </is>
      </c>
      <c r="N26" s="44" t="n"/>
    </row>
    <row r="27" ht="205.5" customHeight="1" s="23">
      <c r="A27" s="47" t="n">
        <v>23</v>
      </c>
      <c r="B27" s="47" t="inlineStr">
        <is>
          <t>T43</t>
        </is>
      </c>
      <c r="C27" s="40" t="inlineStr">
        <is>
          <t>MVP-C：易用与运维</t>
        </is>
      </c>
      <c r="D27" s="33" t="inlineStr">
        <is>
          <t>F41</t>
        </is>
      </c>
      <c r="E27" s="40" t="inlineStr">
        <is>
          <t>白话错误提示</t>
        </is>
      </c>
      <c r="F27" s="42" t="inlineStr">
        <is>
          <t>studio.js、翻译表；服务端错误码</t>
        </is>
      </c>
      <c r="G27" s="42" t="inlineStr">
        <is>
          <t>T13</t>
        </is>
      </c>
      <c r="H27" s="47" t="inlineStr">
        <is>
          <t>S</t>
        </is>
      </c>
      <c r="I27" s="42" t="inlineStr">
        <is>
          <t>常见错误（无可用服务器、缺模型、上传格式、超时、存储离线等）都有中英文白话提示和下一步建议</t>
        </is>
      </c>
      <c r="J27" s="40" t="inlineStr">
        <is>
          <t>node 测试错误码映射完整</t>
        </is>
      </c>
      <c r="K27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任务：整理 EcomCraft 接口的错误码，前端按错误码显示中英文白话提示和下一步建议（如“这台电脑缺少模特图需要的模型，请联系管理员”）。不得把异常堆栈、地址、提示词或节点图显示给用户。
完成后：运行相关测试，执行 git diff --check，按 ecomcraft-docs-sync 技能同步文档，并列出改动文件和你做过的验证。</t>
        </is>
      </c>
      <c r="L27" s="46" t="inlineStr">
        <is>
          <t>已完成</t>
        </is>
      </c>
      <c r="M27" s="38" t="inlineStr">
        <is>
          <t>2026-10-28</t>
        </is>
      </c>
      <c r="N27" s="44" t="n"/>
    </row>
    <row r="28" ht="236.5" customHeight="1" s="23">
      <c r="A28" s="47" t="n">
        <v>24</v>
      </c>
      <c r="B28" s="47" t="inlineStr">
        <is>
          <t>T44</t>
        </is>
      </c>
      <c r="C28" s="40" t="inlineStr">
        <is>
          <t>MVP-C：易用与运维</t>
        </is>
      </c>
      <c r="D28" s="33" t="inlineStr">
        <is>
          <t>F40</t>
        </is>
      </c>
      <c r="E28" s="40" t="inlineStr">
        <is>
          <t>首次设置向导</t>
        </is>
      </c>
      <c r="F28" s="42" t="inlineStr">
        <is>
          <t>管理视图</t>
        </is>
      </c>
      <c r="G28" s="42" t="inlineStr">
        <is>
          <t>T37；T14；T22</t>
        </is>
      </c>
      <c r="H28" s="47" t="inlineStr">
        <is>
          <t>M</t>
        </is>
      </c>
      <c r="I28" s="42" t="inlineStr">
        <is>
          <t>管理员首次进入时依次完成：语言 → 存储位置 → 登记服务器 → 检查模型 → 选常用平台；每步可跳过，之后可重新打开</t>
        </is>
      </c>
      <c r="J28" s="40" t="inlineStr">
        <is>
          <t>在全新的数据目录上走一遍</t>
        </is>
      </c>
      <c r="K28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任务：为管理员实现首次设置向导：语言、作品存储位置、登记执行服务器（复用 SwarmUI 后端管理，不新建登记方式）、模型检查（复用 T14）、常用平台。每步可跳过，之后可在设置中重新打开。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28" s="46" t="inlineStr">
        <is>
          <t>已完成</t>
        </is>
      </c>
      <c r="M28" s="38" t="inlineStr">
        <is>
          <t>2026-10-28</t>
        </is>
      </c>
      <c r="N28" s="44" t="inlineStr">
        <is>
          <t>全新数据目录的第二实例验证了向导各步数据源；界面走查可在部署时复查</t>
        </is>
      </c>
    </row>
    <row r="29" ht="267.5" customHeight="1" s="23">
      <c r="A29" s="47" t="n">
        <v>25</v>
      </c>
      <c r="B29" s="47" t="inlineStr">
        <is>
          <t>T45</t>
        </is>
      </c>
      <c r="C29" s="40" t="inlineStr">
        <is>
          <t>MVP-C：易用与运维</t>
        </is>
      </c>
      <c r="D29" s="33" t="inlineStr">
        <is>
          <t>F42</t>
        </is>
      </c>
      <c r="E29" s="40" t="inlineStr">
        <is>
          <t>手机拍照上传与移动端画廊</t>
        </is>
      </c>
      <c r="F29" s="42" t="inlineStr">
        <is>
          <t>studio.css、simple.js</t>
        </is>
      </c>
      <c r="G29" s="42" t="inlineStr">
        <is>
          <t>T13</t>
        </is>
      </c>
      <c r="H29" s="47" t="inlineStr">
        <is>
          <t>M</t>
        </is>
      </c>
      <c r="I29" s="42" t="inlineStr">
        <is>
          <t>手机浏览器能完成上传（含拍照）、出图和浏览画廊；不依赖需要 HTTPS 的浏览器功能</t>
        </is>
      </c>
      <c r="J29" s="40" t="inlineStr">
        <is>
          <t>Android Chrome 与 iOS Safari 实测</t>
        </is>
      </c>
      <c r="K29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任务：让简易模式和画廊在手机上可用：上传使用 &lt;input type=file accept=image/* capture&gt;，在 http 局域网地址下也能拍照上传；画廊在窄屏下改为单列。不要使用需要安全上下文的 API（剪贴板读取、Notification 等）。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29" s="46" t="inlineStr">
        <is>
          <t>进行中</t>
        </is>
      </c>
      <c r="M29" s="38" t="inlineStr">
        <is>
          <t>2026-10-28</t>
        </is>
      </c>
      <c r="N29" s="44" t="inlineStr">
        <is>
          <t>代码与自动检查完成；Android Chrome / iOS Safari 真机实测待做</t>
        </is>
      </c>
    </row>
    <row r="30" ht="221" customHeight="1" s="23">
      <c r="A30" s="47" t="n">
        <v>26</v>
      </c>
      <c r="B30" s="47" t="inlineStr">
        <is>
          <t>T46</t>
        </is>
      </c>
      <c r="C30" s="40" t="inlineStr">
        <is>
          <t>MVP-C：易用与运维</t>
        </is>
      </c>
      <c r="D30" s="33" t="inlineStr">
        <is>
          <t>F43</t>
        </is>
      </c>
      <c r="E30" s="40" t="inlineStr">
        <is>
          <t>完成通知</t>
        </is>
      </c>
      <c r="F30" s="42" t="inlineStr">
        <is>
          <t>studio.js</t>
        </is>
      </c>
      <c r="G30" s="42" t="inlineStr">
        <is>
          <t>T08</t>
        </is>
      </c>
      <c r="H30" s="47" t="inlineStr">
        <is>
          <t>S</t>
        </is>
      </c>
      <c r="I30" s="42" t="inlineStr">
        <is>
          <t>批量任务完成或失败时页面内提示；页面在后台时标题栏显示进度</t>
        </is>
      </c>
      <c r="J30" s="40" t="inlineStr">
        <is>
          <t>node 测试</t>
        </is>
      </c>
      <c r="K30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任务：批量任务完成或失败时在页面内提示，并在页面处于后台时用 document.title 显示进度（如“(3/12) EcomCraft”）。不使用需要 HTTPS 的 Notification API。
完成后：运行相关测试，执行 git diff --check，按 ecomcraft-docs-sync 技能同步文档，并列出改动文件和你做过的验证。</t>
        </is>
      </c>
      <c r="L30" s="46" t="inlineStr">
        <is>
          <t>已完成</t>
        </is>
      </c>
      <c r="M30" s="38" t="inlineStr">
        <is>
          <t>2026-10-28</t>
        </is>
      </c>
      <c r="N30" s="44" t="n"/>
    </row>
    <row r="31" ht="252" customHeight="1" s="23">
      <c r="A31" s="47" t="n">
        <v>27</v>
      </c>
      <c r="B31" s="47" t="inlineStr">
        <is>
          <t>T47</t>
        </is>
      </c>
      <c r="C31" s="40" t="inlineStr">
        <is>
          <t>MVP-C：易用与运维</t>
        </is>
      </c>
      <c r="D31" s="33" t="inlineStr">
        <is>
          <t>F44</t>
        </is>
      </c>
      <c r="E31" s="40" t="inlineStr">
        <is>
          <t>一键诊断包</t>
        </is>
      </c>
      <c r="F31" s="42" t="inlineStr">
        <is>
          <t>新增管理接口</t>
        </is>
      </c>
      <c r="G31" s="42" t="inlineStr">
        <is>
          <t>T36</t>
        </is>
      </c>
      <c r="H31" s="47" t="inlineStr">
        <is>
          <t>M</t>
        </is>
      </c>
      <c r="I31" s="42" t="inlineStr">
        <is>
          <t>管理员一键下载 zip：日志、服务器状态、版本与配置；自动去除密钥、密码、提示词、图片和会话信息</t>
        </is>
      </c>
      <c r="J31" s="40" t="inlineStr">
        <is>
          <t>C# 测试脱敏规则</t>
        </is>
      </c>
      <c r="K31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任务：为管理员增加“下载诊断包”：包含最近日志、各执行服务器状态、版本信息和 EcomCraft 配置。必须去除 API Key、密码、提示词、用户图片和会话信息；服务器地址只在管理员下载时保留。先列出要包含的文件和脱敏规则让我确认。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31" s="46" t="inlineStr">
        <is>
          <t>已完成</t>
        </is>
      </c>
      <c r="M31" s="38" t="inlineStr">
        <is>
          <t>2026-10-28</t>
        </is>
      </c>
      <c r="N31" s="44" t="n"/>
    </row>
    <row r="32" ht="236.5" customHeight="1" s="23">
      <c r="A32" s="47" t="n">
        <v>28</v>
      </c>
      <c r="B32" s="47" t="inlineStr">
        <is>
          <t>T48</t>
        </is>
      </c>
      <c r="C32" s="40" t="inlineStr">
        <is>
          <t>MVP-C：易用与运维</t>
        </is>
      </c>
      <c r="D32" s="33" t="inlineStr">
        <is>
          <t>F45</t>
        </is>
      </c>
      <c r="E32" s="40" t="inlineStr">
        <is>
          <t>系统数据备份与升级</t>
        </is>
      </c>
      <c r="F32" s="42" t="inlineStr">
        <is>
          <t>新增管理接口；中英文升级说明</t>
        </is>
      </c>
      <c r="G32" s="42" t="inlineStr">
        <is>
          <t>T37</t>
        </is>
      </c>
      <c r="H32" s="47" t="inlineStr">
        <is>
          <t>M</t>
        </is>
      </c>
      <c r="I32" s="42" t="inlineStr">
        <is>
          <t>一键把 Data/EcomCraft 与账号数据备份为 zip；可从备份恢复；升级文档说明数据如何保留</t>
        </is>
      </c>
      <c r="J32" s="40" t="inlineStr">
        <is>
          <t>备份后在新目录恢复并验证</t>
        </is>
      </c>
      <c r="K32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任务：为管理员增加系统数据备份与恢复（Data/EcomCraft、账号数据库等，不含作品文件），恢复前校验备份完整性并要求确认。编写中英文升级说明。备份过程不得修改原文件。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32" s="46" t="inlineStr">
        <is>
          <t>已完成</t>
        </is>
      </c>
      <c r="M32" s="38" t="inlineStr">
        <is>
          <t>2026-10-28</t>
        </is>
      </c>
      <c r="N32" s="44" t="inlineStr">
        <is>
          <t>备份、恢复、防篡改与无确认拦截均已在本机服务实测</t>
        </is>
      </c>
    </row>
    <row r="33" ht="190" customHeight="1" s="23">
      <c r="A33" s="47" t="n">
        <v>29</v>
      </c>
      <c r="B33" s="47" t="inlineStr">
        <is>
          <t>T49</t>
        </is>
      </c>
      <c r="C33" s="40" t="inlineStr">
        <is>
          <t>MVP-C：易用与运维</t>
        </is>
      </c>
      <c r="D33" s="33" t="inlineStr">
        <is>
          <t>F46</t>
        </is>
      </c>
      <c r="E33" s="40" t="inlineStr">
        <is>
          <t>磁盘空间监控</t>
        </is>
      </c>
      <c r="F33" s="42" t="inlineStr">
        <is>
          <t>Studio/Storage/</t>
        </is>
      </c>
      <c r="G33" s="42" t="inlineStr">
        <is>
          <t>T37</t>
        </is>
      </c>
      <c r="H33" s="47" t="inlineStr">
        <is>
          <t>S</t>
        </is>
      </c>
      <c r="I33" s="42" t="inlineStr">
        <is>
          <t>本机或作品库剩余空间低于阈值时管理员可见警告；严重不足时拒绝新任务并说明原因</t>
        </is>
      </c>
      <c r="J33" s="40" t="inlineStr">
        <is>
          <t>C# 测试阈值判断</t>
        </is>
      </c>
      <c r="K33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任务：后台定期检查平台服务器本机和作品库位置的剩余空间，低于阈值（可配置）时在管理视图警告；严重不足时拒绝新的生成并给出白话提示。
完成后：运行相关测试，执行 git diff --check，按 ecomcraft-docs-sync 技能同步文档，并列出改动文件和你做过的验证。</t>
        </is>
      </c>
      <c r="L33" s="46" t="inlineStr">
        <is>
          <t>已完成</t>
        </is>
      </c>
      <c r="M33" s="38" t="inlineStr">
        <is>
          <t>2026-10-28</t>
        </is>
      </c>
      <c r="N33" s="44" t="n"/>
    </row>
    <row r="34" ht="221" customHeight="1" s="23">
      <c r="A34" s="47" t="n">
        <v>30</v>
      </c>
      <c r="B34" s="47" t="inlineStr">
        <is>
          <t>T16</t>
        </is>
      </c>
      <c r="C34" s="40" t="inlineStr">
        <is>
          <t>MVP-C：易用与运维</t>
        </is>
      </c>
      <c r="D34" s="33" t="inlineStr">
        <is>
          <t>F10</t>
        </is>
      </c>
      <c r="E34" s="40" t="inlineStr">
        <is>
          <t>中英文 README 与演示</t>
        </is>
      </c>
      <c r="F34" s="42" t="inlineStr">
        <is>
          <t>README.md、README.en.md、docs/README.zh-CN.md、docs/README.md</t>
        </is>
      </c>
      <c r="G34" s="42" t="inlineStr">
        <is>
          <t>T04；T13</t>
        </is>
      </c>
      <c r="H34" s="47" t="inlineStr">
        <is>
          <t>S</t>
        </is>
      </c>
      <c r="I34" s="42" t="inlineStr">
        <is>
          <t>README 顶部有效果对比图、演示视频和部署服务说明；中英文一致；不写未实现的功能</t>
        </is>
      </c>
      <c r="J34" s="40" t="inlineStr">
        <is>
          <t>人工检查</t>
        </is>
      </c>
      <c r="K34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任务：更新中英文 README 和 docs 索引：顶部加入效果对比图区块（图片稍后提供，先放占位）、演示视频链接位、联系方式与部署服务说明；功能列表按 MVP 实际完成情况更新，不写尚未实现的功能。
完成后：运行相关测试，执行 git diff --check，按 ecomcraft-docs-sync 技能同步文档，并列出改动文件和你做过的验证。</t>
        </is>
      </c>
      <c r="L34" s="46" t="inlineStr">
        <is>
          <t>已完成</t>
        </is>
      </c>
      <c r="M34" s="38" t="inlineStr">
        <is>
          <t>2026-10-28</t>
        </is>
      </c>
      <c r="N34" s="44" t="inlineStr">
        <is>
          <t>效果对比图与演示视频为占位，图片视频稍后提供</t>
        </is>
      </c>
    </row>
    <row r="35" ht="267.5" customHeight="1" s="23">
      <c r="A35" s="47" t="n">
        <v>31</v>
      </c>
      <c r="B35" s="47" t="inlineStr">
        <is>
          <t>T30</t>
        </is>
      </c>
      <c r="C35" s="40" t="inlineStr">
        <is>
          <t>后续：功能增强</t>
        </is>
      </c>
      <c r="D35" s="33" t="inlineStr">
        <is>
          <t>F25</t>
        </is>
      </c>
      <c r="E35" s="40" t="inlineStr">
        <is>
          <t>卖点分析与套图分镜</t>
        </is>
      </c>
      <c r="F35" s="42" t="inlineStr">
        <is>
          <t>提示词服务；新增分镜 API；分镜确认界面</t>
        </is>
      </c>
      <c r="G35" s="42" t="inlineStr">
        <is>
          <t>T08；T38</t>
        </is>
      </c>
      <c r="H35" s="47" t="inlineStr">
        <is>
          <t>L</t>
        </is>
      </c>
      <c r="I35" s="42" t="inlineStr">
        <is>
          <t>上传商品后生成卖点列表与套图分镜（每张图对应模板、提示词片段和用途）；用户可增删改后一键批量生成</t>
        </is>
      </c>
      <c r="J35" s="40" t="inlineStr">
        <is>
          <t>C# 测试分镜结构校验；node 测试确认界面</t>
        </is>
      </c>
      <c r="K35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任务：新增“卖点分析与套图分镜”。复用提示词服务：输入商品描述（及可选的用户卖点），输出结构化分镜（每一项 = 模板 ID + 提示词片段 + 用途说明）。服务端必须把分镜的每一项再经模板与白名单校验，不能让模型输出直接变成任意参数。工作台展示分镜供用户确认和修改，确认后交给套图与批量。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35" s="46" t="inlineStr">
        <is>
          <t>未开始</t>
        </is>
      </c>
      <c r="M35" s="38" t="n"/>
      <c r="N35" s="44" t="inlineStr">
        <is>
          <t>MVP 后优先</t>
        </is>
      </c>
    </row>
    <row r="36" ht="252" customHeight="1" s="23">
      <c r="A36" s="47" t="n">
        <v>32</v>
      </c>
      <c r="B36" s="47" t="inlineStr">
        <is>
          <t>T05</t>
        </is>
      </c>
      <c r="C36" s="40" t="inlineStr">
        <is>
          <t>后续：功能增强</t>
        </is>
      </c>
      <c r="D36" s="33" t="inlineStr">
        <is>
          <t>F19</t>
        </is>
      </c>
      <c r="E36" s="40" t="inlineStr">
        <is>
          <t>品类预设</t>
        </is>
      </c>
      <c r="F36" s="42" t="inlineStr">
        <is>
          <t>Studio/Templates/（categories 合并逻辑）；品类选择</t>
        </is>
      </c>
      <c r="G36" s="42" t="inlineStr">
        <is>
          <t>T04</t>
        </is>
      </c>
      <c r="H36" s="47" t="inlineStr">
        <is>
          <t>M</t>
        </is>
      </c>
      <c r="I36" s="42" t="inlineStr">
        <is>
          <t>参数合并顺序为“模板默认 &lt; 品类预设 &lt; 用户输入”，结果全部经白名单校验；界面可选品类</t>
        </is>
      </c>
      <c r="J36" s="40" t="inlineStr">
        <is>
          <t>C# 测试合并顺序与越界拒绝；node 测试界面</t>
        </is>
      </c>
      <c r="K36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任务：实现模板的品类预设。模板的 categories 中每个品类可覆盖部分参数与提示词片段（如光线、背景描述）。合并顺序：模板默认 &lt; 品类预设 &lt; 用户输入，合并结果仍须经白名单校验。品类名称中英文齐全。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36" s="46" t="inlineStr">
        <is>
          <t>未开始</t>
        </is>
      </c>
      <c r="M36" s="38" t="n"/>
      <c r="N36" s="44" t="n"/>
    </row>
    <row r="37" ht="252" customHeight="1" s="23">
      <c r="A37" s="47" t="n">
        <v>33</v>
      </c>
      <c r="B37" s="47" t="inlineStr">
        <is>
          <t>T17</t>
        </is>
      </c>
      <c r="C37" s="40" t="inlineStr">
        <is>
          <t>后续：功能增强</t>
        </is>
      </c>
      <c r="D37" s="33" t="inlineStr">
        <is>
          <t>F12</t>
        </is>
      </c>
      <c r="E37" s="40" t="inlineStr">
        <is>
          <t>品牌资料包</t>
        </is>
      </c>
      <c r="F37" s="42" t="inlineStr">
        <is>
          <t>新增品牌资料包存储与 API；模板 brand_kit 槽位；管理界面</t>
        </is>
      </c>
      <c r="G37" s="42" t="inlineStr">
        <is>
          <t>T02；T37</t>
        </is>
      </c>
      <c r="H37" s="47" t="inlineStr">
        <is>
          <t>L</t>
        </is>
      </c>
      <c r="I37" s="42" t="inlineStr">
        <is>
          <t>可创建品牌资料包（Logo、品牌色、偏好背景、参考图）；生成时模板自动使用所选资料包；资料包按用户或团队隔离</t>
        </is>
      </c>
      <c r="J37" s="40" t="inlineStr">
        <is>
          <t>C# 测试隔离与校验；本机生成验证</t>
        </is>
      </c>
      <c r="K37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任务：实现品牌资料包：保存 Logo、品牌色、偏好背景描述和若干风格参考图；生成时模板的 brand_kit 槽位把资料包内容映射到工作流的白名单参数（如参考图输入、提示词片段）。客户端只提交资料包 ID，不得直接提交图片路径。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37" s="46" t="inlineStr">
        <is>
          <t>未开始</t>
        </is>
      </c>
      <c r="M37" s="38" t="n"/>
      <c r="N37" s="44" t="n"/>
    </row>
    <row r="38" ht="267.5" customHeight="1" s="23">
      <c r="A38" s="47" t="n">
        <v>34</v>
      </c>
      <c r="B38" s="47" t="inlineStr">
        <is>
          <t>T09</t>
        </is>
      </c>
      <c r="C38" s="40" t="inlineStr">
        <is>
          <t>后续：功能增强</t>
        </is>
      </c>
      <c r="D38" s="33" t="inlineStr">
        <is>
          <t>F04</t>
        </is>
      </c>
      <c r="E38" s="40" t="inlineStr">
        <is>
          <t>项目归档：服务端存储与 API</t>
        </is>
      </c>
      <c r="F38" s="42" t="inlineStr">
        <is>
          <t>新增项目存储与 API；更新 AGENTS.md 相关规则</t>
        </is>
      </c>
      <c r="G38" s="42" t="inlineStr">
        <is>
          <t>T35；T37</t>
        </is>
      </c>
      <c r="H38" s="47" t="inlineStr">
        <is>
          <t>L</t>
        </is>
      </c>
      <c r="I38" s="42" t="inlineStr">
        <is>
          <t>可创建、重命名、删除项目；作品可归入项目；重启后仍在；平台内只能看到自己的项目</t>
        </is>
      </c>
      <c r="J38" s="40" t="inlineStr">
        <is>
          <t>C# 测试用户隔离与删除</t>
        </is>
      </c>
      <c r="K38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任务：在现有画廊和作品索引之上增加“项目”：一个项目对应一个客户或一批商品，作品可归入项目，记录模板、参数、种子和执行服务器。平台内按用户隔离，用户可删除自己的记录。AGENTS.md 规定进度观测不得长期保存提示词——本功能是用户主动保存的作品记录，请在方案中说明边界，并在 AGENTS.md 中补充对应规则。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38" s="46" t="inlineStr">
        <is>
          <t>未开始</t>
        </is>
      </c>
      <c r="M38" s="38" t="n"/>
      <c r="N38" s="44" t="inlineStr">
        <is>
          <t>会修改 AGENTS.md 规则，务必审阅</t>
        </is>
      </c>
    </row>
    <row r="39" ht="221" customHeight="1" s="23">
      <c r="A39" s="47" t="n">
        <v>35</v>
      </c>
      <c r="B39" s="47" t="inlineStr">
        <is>
          <t>T10</t>
        </is>
      </c>
      <c r="C39" s="40" t="inlineStr">
        <is>
          <t>后续：功能增强</t>
        </is>
      </c>
      <c r="D39" s="33" t="inlineStr">
        <is>
          <t>F04</t>
        </is>
      </c>
      <c r="E39" s="40" t="inlineStr">
        <is>
          <t>项目归档：工作台界面</t>
        </is>
      </c>
      <c r="F39" s="42" t="inlineStr">
        <is>
          <t>studio.js、index.html、studio.css</t>
        </is>
      </c>
      <c r="G39" s="42" t="inlineStr">
        <is>
          <t>T09</t>
        </is>
      </c>
      <c r="H39" s="47" t="inlineStr">
        <is>
          <t>M</t>
        </is>
      </c>
      <c r="I39" s="42" t="inlineStr">
        <is>
          <t>可切换当前项目；画廊可按项目筛选；“用相同参数重做”一键回填</t>
        </is>
      </c>
      <c r="J39" s="40" t="inlineStr">
        <is>
          <t>node 测试 + 本机手动验证</t>
        </is>
      </c>
      <c r="K39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任务：在工作台加入项目选择器：切换当前项目、按项目查看作品、点击“用相同参数重做”回填模板、参数与种子。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39" s="46" t="inlineStr">
        <is>
          <t>未开始</t>
        </is>
      </c>
      <c r="M39" s="38" t="n"/>
      <c r="N39" s="44" t="n"/>
    </row>
    <row r="40" ht="236.5" customHeight="1" s="23">
      <c r="A40" s="47" t="n">
        <v>36</v>
      </c>
      <c r="B40" s="47" t="inlineStr">
        <is>
          <t>T50</t>
        </is>
      </c>
      <c r="C40" s="40" t="inlineStr">
        <is>
          <t>后续：功能增强</t>
        </is>
      </c>
      <c r="D40" s="33" t="inlineStr">
        <is>
          <t>F47</t>
        </is>
      </c>
      <c r="E40" s="40" t="inlineStr">
        <is>
          <t>卖点图（固定版式文字）</t>
        </is>
      </c>
      <c r="F40" s="42" t="inlineStr">
        <is>
          <t>新增版式模板；导出模块</t>
        </is>
      </c>
      <c r="G40" s="42" t="inlineStr">
        <is>
          <t>T11</t>
        </is>
      </c>
      <c r="H40" s="47" t="inlineStr">
        <is>
          <t>M</t>
        </is>
      </c>
      <c r="I40" s="42" t="inlineStr">
        <is>
          <t>用户填写卖点文字后按固定版式排版到图上；文字由程序绘制，不由 AI 生成；中英文字体正常</t>
        </is>
      </c>
      <c r="J40" s="40" t="inlineStr">
        <is>
          <t>C# 测试排版；人工检查中英文效果</t>
        </is>
      </c>
      <c r="K40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任务：实现卖点图：在生成的场景图上按固定版式叠加用户填写的标题和卖点文字（由服务端绘制，不由 AI 生成文字）。提供 2–3 个版式，字体需允许商用并同时支持中英文；先列出字体选择和许可让我确认。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40" s="46" t="inlineStr">
        <is>
          <t>未开始</t>
        </is>
      </c>
      <c r="M40" s="38" t="n"/>
      <c r="N40" s="44" t="n"/>
    </row>
    <row r="41" ht="221" customHeight="1" s="23">
      <c r="A41" s="47" t="n">
        <v>37</v>
      </c>
      <c r="B41" s="47" t="inlineStr">
        <is>
          <t>T51</t>
        </is>
      </c>
      <c r="C41" s="40" t="inlineStr">
        <is>
          <t>后续：功能增强</t>
        </is>
      </c>
      <c r="D41" s="33" t="inlineStr">
        <is>
          <t>F48</t>
        </is>
      </c>
      <c r="E41" s="40" t="inlineStr">
        <is>
          <t>商品展示视频模板</t>
        </is>
      </c>
      <c r="F41" s="42" t="inlineStr">
        <is>
          <t>内置模板；画廊视频支持</t>
        </is>
      </c>
      <c r="G41" s="42" t="inlineStr">
        <is>
          <t>T04；N02</t>
        </is>
      </c>
      <c r="H41" s="47" t="inlineStr">
        <is>
          <t>L</t>
        </is>
      </c>
      <c r="I41" s="42" t="inlineStr">
        <is>
          <t>商品展示视频模板可用；画廊和导出支持视频</t>
        </is>
      </c>
      <c r="J41" s="40" t="inlineStr">
        <is>
          <t>本机实际生成并检查</t>
        </is>
      </c>
      <c r="K41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任务：新增商品展示视频模板（工作流由外部专家制作），确认画廊、导出和存储对视频的支持，并评估各执行服务器的显存是否满足要求。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41" s="46" t="inlineStr">
        <is>
          <t>未开始</t>
        </is>
      </c>
      <c r="M41" s="38" t="n"/>
      <c r="N41" s="44" t="n"/>
    </row>
    <row r="42" ht="221" customHeight="1" s="23">
      <c r="A42" s="47" t="n">
        <v>38</v>
      </c>
      <c r="B42" s="47" t="inlineStr">
        <is>
          <t>T20</t>
        </is>
      </c>
      <c r="C42" s="40" t="inlineStr">
        <is>
          <t>后续：功能增强</t>
        </is>
      </c>
      <c r="D42" s="33" t="inlineStr">
        <is>
          <t>F49</t>
        </is>
      </c>
      <c r="E42" s="40" t="inlineStr">
        <is>
          <t>可见 AI 标识</t>
        </is>
      </c>
      <c r="F42" s="42" t="inlineStr">
        <is>
          <t>Studio/Export/</t>
        </is>
      </c>
      <c r="G42" s="42" t="inlineStr">
        <is>
          <t>T19</t>
        </is>
      </c>
      <c r="H42" s="47" t="inlineStr">
        <is>
          <t>S</t>
        </is>
      </c>
      <c r="I42" s="42" t="inlineStr">
        <is>
          <t>导出时可选在图片角落加可见 AI 标识（文字与语言可配置）；含 AI 人物的作品可导出清单</t>
        </is>
      </c>
      <c r="J42" s="40" t="inlineStr">
        <is>
          <t>C# 测试标识位置</t>
        </is>
      </c>
      <c r="K42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任务：导出增加可见 AI 标识选项（默认右上角，文字可配置，如 “AI-generated” / “KI-generiert”），并可导出含 AI 生成人物的作品清单（CSV），方便卖家在平台填写合成人物属性。
完成后：运行相关测试，执行 git diff --check，按 ecomcraft-docs-sync 技能同步文档，并列出改动文件和你做过的验证。</t>
        </is>
      </c>
      <c r="L42" s="46" t="inlineStr">
        <is>
          <t>未开始</t>
        </is>
      </c>
      <c r="M42" s="38" t="n"/>
      <c r="N42" s="44" t="n"/>
    </row>
    <row r="43" ht="236.5" customHeight="1" s="23">
      <c r="A43" s="47" t="n">
        <v>39</v>
      </c>
      <c r="B43" s="47" t="inlineStr">
        <is>
          <t>T18</t>
        </is>
      </c>
      <c r="C43" s="40" t="inlineStr">
        <is>
          <t>后续：功能增强</t>
        </is>
      </c>
      <c r="D43" s="33" t="inlineStr">
        <is>
          <t>F21</t>
        </is>
      </c>
      <c r="E43" s="40" t="inlineStr">
        <is>
          <t>候选图自动筛选</t>
        </is>
      </c>
      <c r="F43" s="42" t="inlineStr">
        <is>
          <t>生成后处理：保真度评分；候选展示</t>
        </is>
      </c>
      <c r="G43" s="42" t="inlineStr">
        <is>
          <t>T07</t>
        </is>
      </c>
      <c r="H43" s="47" t="inlineStr">
        <is>
          <t>L</t>
        </is>
      </c>
      <c r="I43" s="42" t="inlineStr">
        <is>
          <t>每张候选给出保真度分数；低于阈值的默认隐藏；阈值可配置</t>
        </is>
      </c>
      <c r="J43" s="40" t="inlineStr">
        <is>
          <t>C# 测试评分函数；用测试台对比开启前后的合格率</t>
        </is>
      </c>
      <c r="K43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任务：为候选图计算商品保真度（如生成图与原图商品蒙版的轮廓或 IoU 比较），按分数排序，低于阈值的默认隐藏。请先评估计算成本与所需的工作流输出。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43" s="46" t="inlineStr">
        <is>
          <t>未开始</t>
        </is>
      </c>
      <c r="M43" s="38" t="n"/>
      <c r="N43" s="44" t="n"/>
    </row>
    <row r="44" ht="205.5" customHeight="1" s="23">
      <c r="A44" s="47" t="n">
        <v>40</v>
      </c>
      <c r="B44" s="47" t="inlineStr">
        <is>
          <t>T12</t>
        </is>
      </c>
      <c r="C44" s="40" t="inlineStr">
        <is>
          <t>后续：功能增强</t>
        </is>
      </c>
      <c r="D44" s="33" t="inlineStr">
        <is>
          <t>F06</t>
        </is>
      </c>
      <c r="E44" s="40" t="inlineStr">
        <is>
          <t>前后对比图导出</t>
        </is>
      </c>
      <c r="F44" s="42" t="inlineStr">
        <is>
          <t>studio.js（浏览器画布生成）</t>
        </is>
      </c>
      <c r="G44" s="42" t="inlineStr">
        <is>
          <t>T35</t>
        </is>
      </c>
      <c r="H44" s="47" t="inlineStr">
        <is>
          <t>S</t>
        </is>
      </c>
      <c r="I44" s="42" t="inlineStr">
        <is>
          <t>画廊作品可一键生成“原图 | 成品”并排对比 PNG，可加文字标签</t>
        </is>
      </c>
      <c r="J44" s="40" t="inlineStr">
        <is>
          <t>node 测试布局计算；手动导出检查</t>
        </is>
      </c>
      <c r="K44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任务：在画廊作品上增加“导出对比图”：用浏览器画布把原商品图与成品并排拼成一张 PNG（可选左右或上下、可选标签文字），直接下载，不经过服务端。遵守现有 CSP。
完成后：运行相关测试，执行 git diff --check，按 ecomcraft-docs-sync 技能同步文档，并列出改动文件和你做过的验证。</t>
        </is>
      </c>
      <c r="L44" s="46" t="inlineStr">
        <is>
          <t>未开始</t>
        </is>
      </c>
      <c r="M44" s="38" t="n"/>
      <c r="N44" s="44" t="n"/>
    </row>
    <row r="45" ht="236.5" customHeight="1" s="23">
      <c r="A45" s="47" t="n">
        <v>41</v>
      </c>
      <c r="B45" s="47" t="inlineStr">
        <is>
          <t>T31</t>
        </is>
      </c>
      <c r="C45" s="40" t="inlineStr">
        <is>
          <t>后续：功能增强</t>
        </is>
      </c>
      <c r="D45" s="33" t="inlineStr">
        <is>
          <t>F26</t>
        </is>
      </c>
      <c r="E45" s="40" t="inlineStr">
        <is>
          <t>PSD 分层导出</t>
        </is>
      </c>
      <c r="F45" s="42" t="inlineStr">
        <is>
          <t>Studio/Export/；依赖商品蒙版</t>
        </is>
      </c>
      <c r="G45" s="42" t="inlineStr">
        <is>
          <t>T07</t>
        </is>
      </c>
      <c r="H45" s="47" t="inlineStr">
        <is>
          <t>M</t>
        </is>
      </c>
      <c r="I45" s="42" t="inlineStr">
        <is>
          <t>导出的 PSD 至少包含商品层（带透明通道）和背景层；能在常见设计软件中正常打开</t>
        </is>
      </c>
      <c r="J45" s="40" t="inlineStr">
        <is>
          <t>用设计软件打开检查</t>
        </is>
      </c>
      <c r="K45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任务：导出增加 PSD 分层格式：商品层（用商品蒙版抠出，带透明通道）、生成背景层、可选文字层。先调研 .NET 下可用且许可允许商用的 PSD 写入方案，给出选择理由。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45" s="46" t="inlineStr">
        <is>
          <t>未开始</t>
        </is>
      </c>
      <c r="M45" s="38" t="n"/>
      <c r="N45" s="44" t="n"/>
    </row>
    <row r="46" ht="236.5" customHeight="1" s="23">
      <c r="A46" s="47" t="n">
        <v>42</v>
      </c>
      <c r="B46" s="47" t="inlineStr">
        <is>
          <t>T15</t>
        </is>
      </c>
      <c r="C46" s="40" t="inlineStr">
        <is>
          <t>后续：功能增强</t>
        </is>
      </c>
      <c r="D46" s="33" t="inlineStr">
        <is>
          <t>F09</t>
        </is>
      </c>
      <c r="E46" s="40" t="inlineStr">
        <is>
          <t>模板导入导出</t>
        </is>
      </c>
      <c r="F46" s="42" t="inlineStr">
        <is>
          <t>新增管理员 API；模板包格式（zip）</t>
        </is>
      </c>
      <c r="G46" s="42" t="inlineStr">
        <is>
          <t>T04</t>
        </is>
      </c>
      <c r="H46" s="47" t="inlineStr">
        <is>
          <t>M</t>
        </is>
      </c>
      <c r="I46" s="42" t="inlineStr">
        <is>
          <t>管理员可导出模板包并在另一台机器导入；导入执行与工作流发现相同的结构校验并进入审核；普通用户无权限</t>
        </is>
      </c>
      <c r="J46" s="40" t="inlineStr">
        <is>
          <t>C# 测试导入非法包被拒绝</t>
        </is>
      </c>
      <c r="K46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任务：定义模板包格式（zip：模板定义 + 所需工作流 + 示例图 + 许可说明）并实现仅管理员可用的导入导出。导入必须复用现有工作流结构校验与审核流程，不得绕过白名单边界。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46" s="46" t="inlineStr">
        <is>
          <t>未开始</t>
        </is>
      </c>
      <c r="M46" s="38" t="n"/>
      <c r="N46" s="44" t="n"/>
    </row>
    <row r="47" ht="252" customHeight="1" s="23">
      <c r="A47" s="47" t="n">
        <v>43</v>
      </c>
      <c r="B47" s="47" t="inlineStr">
        <is>
          <t>T32</t>
        </is>
      </c>
      <c r="C47" s="40" t="inlineStr">
        <is>
          <t>后续：功能增强</t>
        </is>
      </c>
      <c r="D47" s="33" t="inlineStr">
        <is>
          <t>F27</t>
        </is>
      </c>
      <c r="E47" s="40" t="inlineStr">
        <is>
          <t>导入 ComfyUI App Mode 应用为模板</t>
        </is>
      </c>
      <c r="F47" s="42" t="inlineStr">
        <is>
          <t>工作流发现与转换；模板导入</t>
        </is>
      </c>
      <c r="G47" s="42" t="inlineStr">
        <is>
          <t>T15</t>
        </is>
      </c>
      <c r="H47" s="47" t="inlineStr">
        <is>
          <t>M</t>
        </is>
      </c>
      <c r="I47" s="42" t="inlineStr">
        <is>
          <t>App Mode 应用中声明的输入映射为模板可调字段；导入仍经结构校验与审核</t>
        </is>
      </c>
      <c r="J47" s="40" t="inlineStr">
        <is>
          <t>C# 回归测试</t>
        </is>
      </c>
      <c r="K47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任务：调研 ComfyUI App Mode / App Builder 保存应用的数据格式，实现把这类应用导入为 EcomCraft 模板：应用声明的输入映射为模板可调字段。导入仍必须走现有结构校验与审核流程。格式资料不足时，先说明需要我提供哪些样例文件。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47" s="46" t="inlineStr">
        <is>
          <t>未开始</t>
        </is>
      </c>
      <c r="M47" s="38" t="n"/>
      <c r="N47" s="44" t="n"/>
    </row>
    <row r="48" ht="252" customHeight="1" s="23">
      <c r="A48" s="47" t="n">
        <v>44</v>
      </c>
      <c r="B48" s="47" t="inlineStr">
        <is>
          <t>T21</t>
        </is>
      </c>
      <c r="C48" s="40" t="inlineStr">
        <is>
          <t>后续：功能增强</t>
        </is>
      </c>
      <c r="D48" s="33" t="inlineStr">
        <is>
          <t>F23</t>
        </is>
      </c>
      <c r="E48" s="40" t="inlineStr">
        <is>
          <t>Apple 芯片 Mac 一键安装 ComfyUI</t>
        </is>
      </c>
      <c r="F48" s="42" t="inlineStr">
        <is>
          <t>src/Core/Installation.cs、launch-macos.sh（启动脚本需格外谨慎）</t>
        </is>
      </c>
      <c r="G48" s="42" t="inlineStr">
        <is>
          <t>T00</t>
        </is>
      </c>
      <c r="H48" s="47" t="inlineStr">
        <is>
          <t>L</t>
        </is>
      </c>
      <c r="I48" s="42" t="inlineStr">
        <is>
          <t>在 Apple 芯片 Mac 上首次设置可自动安装并启动本机 ComfyUI；Windows / Linux 流程不受影响</t>
        </is>
      </c>
      <c r="J48" s="40" t="inlineStr">
        <is>
          <t>在真机 Mac 上手动验证</t>
        </is>
      </c>
      <c r="K48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任务：为 macOS（Apple 芯片）补齐首次设置中的本机 ComfyUI 自动安装与启动。AGENTS.md 要求修改启动器格外谨慎：请先说明现有 Windows / Linux 安装流程，再设计 macOS 分支，确保不影响其他平台。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48" s="46" t="inlineStr">
        <is>
          <t>未开始</t>
        </is>
      </c>
      <c r="M48" s="38" t="n"/>
      <c r="N48" s="44" t="n"/>
    </row>
    <row r="49" ht="283" customHeight="1" s="23">
      <c r="A49" s="47" t="n">
        <v>45</v>
      </c>
      <c r="B49" s="47" t="inlineStr">
        <is>
          <t>T23</t>
        </is>
      </c>
      <c r="C49" s="40" t="inlineStr">
        <is>
          <t>后续：团队与商业化</t>
        </is>
      </c>
      <c r="D49" s="33" t="inlineStr">
        <is>
          <t>F11</t>
        </is>
      </c>
      <c r="E49" s="40" t="inlineStr">
        <is>
          <t>EcomCraft 角色与权限细分</t>
        </is>
      </c>
      <c r="F49" s="42" t="inlineStr">
        <is>
          <t>src/Accounts 权限注册；EcomCraft.cs</t>
        </is>
      </c>
      <c r="G49" s="42" t="inlineStr">
        <is>
          <t>T36</t>
        </is>
      </c>
      <c r="H49" s="47" t="inlineStr">
        <is>
          <t>M</t>
        </is>
      </c>
      <c r="I49" s="42" t="inlineStr">
        <is>
          <t>在需求文档已有权限基础上预置管理员、设计师、运营、审核等角色；每个 EcomCraft API 有明确权限要求</t>
        </is>
      </c>
      <c r="J49" s="40" t="inlineStr">
        <is>
          <t>C# 测试各角色可访问的 API</t>
        </is>
      </c>
      <c r="K49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涉及局域网平台的需求以 docs/EcomCraft 局域网多服务器平台需求.zh-CN.md 为准，需求有变化先改该文档（中英文）。
任务：在需求文档第 4 节已定义的 EcomCraft 权限基础上，结合 SwarmUI 现有角色系统，预置管理员、设计师、运营、审核等角色模板，并核对每个 EcomCraft API 的权限要求。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49" s="46" t="inlineStr">
        <is>
          <t>未开始</t>
        </is>
      </c>
      <c r="M49" s="38" t="n"/>
      <c r="N49" s="44" t="n"/>
    </row>
    <row r="50" ht="221" customHeight="1" s="23">
      <c r="A50" s="47" t="n">
        <v>46</v>
      </c>
      <c r="B50" s="47" t="inlineStr">
        <is>
          <t>T24</t>
        </is>
      </c>
      <c r="C50" s="40" t="inlineStr">
        <is>
          <t>后续：团队与商业化</t>
        </is>
      </c>
      <c r="D50" s="33" t="inlineStr">
        <is>
          <t>F13</t>
        </is>
      </c>
      <c r="E50" s="40" t="inlineStr">
        <is>
          <t>作品审核流程</t>
        </is>
      </c>
      <c r="F50" s="42" t="inlineStr">
        <is>
          <t>作品记录增加审核状态；导出接口检查状态；审核界面</t>
        </is>
      </c>
      <c r="G50" s="42" t="inlineStr">
        <is>
          <t>T23</t>
        </is>
      </c>
      <c r="H50" s="47" t="inlineStr">
        <is>
          <t>M</t>
        </is>
      </c>
      <c r="I50" s="42" t="inlineStr">
        <is>
          <t>作品状态：待审核 / 已通过 / 已退回；未通过的作品不能导出</t>
        </is>
      </c>
      <c r="J50" s="40" t="inlineStr">
        <is>
          <t>C# 测试导出权限检查</t>
        </is>
      </c>
      <c r="K50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任务：为作品增加审核流程：运营或设计师提交，审核角色通过或退回（附意见），只有已通过的作品能导出。团队可选择是否启用此流程。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50" s="46" t="inlineStr">
        <is>
          <t>未开始</t>
        </is>
      </c>
      <c r="M50" s="38" t="n"/>
      <c r="N50" s="44" t="n"/>
    </row>
    <row r="51" ht="221" customHeight="1" s="23">
      <c r="A51" s="47" t="n">
        <v>47</v>
      </c>
      <c r="B51" s="47" t="inlineStr">
        <is>
          <t>T25</t>
        </is>
      </c>
      <c r="C51" s="40" t="inlineStr">
        <is>
          <t>后续：团队与商业化</t>
        </is>
      </c>
      <c r="D51" s="33" t="inlineStr">
        <is>
          <t>F14</t>
        </is>
      </c>
      <c r="E51" s="40" t="inlineStr">
        <is>
          <t>用量统计</t>
        </is>
      </c>
      <c r="F51" s="42" t="inlineStr">
        <is>
          <t>基于作品索引统计；管理员统计页</t>
        </is>
      </c>
      <c r="G51" s="42" t="inlineStr">
        <is>
          <t>T35</t>
        </is>
      </c>
      <c r="H51" s="47" t="inlineStr">
        <is>
          <t>M</t>
        </is>
      </c>
      <c r="I51" s="42" t="inlineStr">
        <is>
          <t>按成员、时间段、执行服务器统计出图量，可导出 CSV</t>
        </is>
      </c>
      <c r="J51" s="40" t="inlineStr">
        <is>
          <t>C# 测试统计口径</t>
        </is>
      </c>
      <c r="K51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任务：基于作品索引做用量统计：按成员、时间段和执行服务器统计图片与视频数量，管理员可查看并导出 CSV。统计结果不包含提示词。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51" s="46" t="inlineStr">
        <is>
          <t>未开始</t>
        </is>
      </c>
      <c r="M51" s="38" t="n"/>
      <c r="N51" s="44" t="n"/>
    </row>
    <row r="52" ht="283" customHeight="1" s="23">
      <c r="A52" s="47" t="n">
        <v>48</v>
      </c>
      <c r="B52" s="47" t="inlineStr">
        <is>
          <t>T52</t>
        </is>
      </c>
      <c r="C52" s="40" t="inlineStr">
        <is>
          <t>后续：团队与商业化</t>
        </is>
      </c>
      <c r="D52" s="33" t="inlineStr">
        <is>
          <t>F50</t>
        </is>
      </c>
      <c r="E52" s="40" t="inlineStr">
        <is>
          <t>用户组与作品共享</t>
        </is>
      </c>
      <c r="F52" s="42" t="inlineStr">
        <is>
          <t>账号与用户组；画廊共享</t>
        </is>
      </c>
      <c r="G52" s="42" t="inlineStr">
        <is>
          <t>T23</t>
        </is>
      </c>
      <c r="H52" s="47" t="inlineStr">
        <is>
          <t>M</t>
        </is>
      </c>
      <c r="I52" s="42" t="inlineStr">
        <is>
          <t>管理员维护用户组；用户可把作品共享到组，同组成员可见，可随时取消</t>
        </is>
      </c>
      <c r="J52" s="40" t="inlineStr">
        <is>
          <t>C# 测试可见性</t>
        </is>
      </c>
      <c r="K52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涉及局域网平台的需求以 docs/EcomCraft 局域网多服务器平台需求.zh-CN.md 为准，需求有变化先改该文档（中英文）。
任务：实现需求文档 R7.3 与 R9.3：管理员维护用户组，用户可把单个作品共享到组，同组成员在平台内可见，可随时取消共享。注意 D9：存储层不做隔离，本功能只控制平台内的可见性。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52" s="46" t="inlineStr">
        <is>
          <t>未开始</t>
        </is>
      </c>
      <c r="M52" s="38" t="n"/>
      <c r="N52" s="44" t="n"/>
    </row>
    <row r="53" ht="283" customHeight="1" s="23">
      <c r="A53" s="47" t="n">
        <v>49</v>
      </c>
      <c r="B53" s="47" t="inlineStr">
        <is>
          <t>T53</t>
        </is>
      </c>
      <c r="C53" s="40" t="inlineStr">
        <is>
          <t>后续：团队与商业化</t>
        </is>
      </c>
      <c r="D53" s="33" t="inlineStr">
        <is>
          <t>F51</t>
        </is>
      </c>
      <c r="E53" s="40" t="inlineStr">
        <is>
          <t>服务器运维</t>
        </is>
      </c>
      <c r="F53" s="42" t="inlineStr">
        <is>
          <t>执行服务器管理</t>
        </is>
      </c>
      <c r="G53" s="42" t="inlineStr">
        <is>
          <t>T34</t>
        </is>
      </c>
      <c r="H53" s="47" t="inlineStr">
        <is>
          <t>M</t>
        </is>
      </c>
      <c r="I53" s="42" t="inlineStr">
        <is>
          <t>支持维护模式（不接新任务，跑完现有任务）、审核通过后一键分发工作流到其他服务器、远程输出目录清理</t>
        </is>
      </c>
      <c r="J53" s="40" t="inlineStr">
        <is>
          <t>多机实测</t>
        </is>
      </c>
      <c r="K53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涉及局域网平台的需求以 docs/EcomCraft 局域网多服务器平台需求.zh-CN.md 为准，需求有变化先改该文档（中英文）。
任务：实现需求文档第二阶段的服务器运维功能：维护模式、审核通过后通过 ComfyUI 接口把工作流写入其他服务器（模型仍需人工安装）、远程服务器输出目录清理。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53" s="46" t="inlineStr">
        <is>
          <t>未开始</t>
        </is>
      </c>
      <c r="M53" s="38" t="n"/>
      <c r="N53" s="44" t="n"/>
    </row>
    <row r="54" ht="236.5" customHeight="1" s="23">
      <c r="A54" s="47" t="n">
        <v>50</v>
      </c>
      <c r="B54" s="47" t="inlineStr">
        <is>
          <t>T27</t>
        </is>
      </c>
      <c r="C54" s="40" t="inlineStr">
        <is>
          <t>后续：团队与商业化</t>
        </is>
      </c>
      <c r="D54" s="33" t="inlineStr">
        <is>
          <t>F16</t>
        </is>
      </c>
      <c r="E54" s="40" t="inlineStr">
        <is>
          <t>付费功能授权机制</t>
        </is>
      </c>
      <c r="F54" s="42" t="inlineStr">
        <is>
          <t>新增授权模块或独立闭源扩展</t>
        </is>
      </c>
      <c r="G54" s="42" t="inlineStr">
        <is>
          <t>T23</t>
        </is>
      </c>
      <c r="H54" s="47" t="inlineStr">
        <is>
          <t>L</t>
        </is>
      </c>
      <c r="I54" s="42" t="inlineStr">
        <is>
          <t>付费功能在没有有效许可证时不可用并有明确提示；开源核心可独立运行</t>
        </is>
      </c>
      <c r="J54" s="40" t="inlineStr">
        <is>
          <t>C# 测试许可证校验（离线签名）</t>
        </is>
      </c>
      <c r="K54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任务：设计开源核心 + 付费团队版的拆分方式：比较“独立闭源扩展”与“许可证密钥开关”两种方案的利弊，推荐一种并实现离线可校验的许可证机制。开源核心必须能在没有付费部分的情况下完整运行。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54" s="46" t="inlineStr">
        <is>
          <t>未开始</t>
        </is>
      </c>
      <c r="M54" s="38" t="n"/>
      <c r="N54" s="44" t="n"/>
    </row>
    <row r="55" ht="298.5" customHeight="1" s="23">
      <c r="A55" s="47" t="n">
        <v>51</v>
      </c>
      <c r="B55" s="47" t="inlineStr">
        <is>
          <t>T29</t>
        </is>
      </c>
      <c r="C55" s="40" t="inlineStr">
        <is>
          <t>预留：云端与定制</t>
        </is>
      </c>
      <c r="D55" s="33" t="inlineStr">
        <is>
          <t>F18</t>
        </is>
      </c>
      <c r="E55" s="40" t="inlineStr">
        <is>
          <t>云端生成（先修订规则）</t>
        </is>
      </c>
      <c r="F55" s="42" t="inlineStr">
        <is>
          <t>AGENTS.md、README、需求文档规则修订；新增云端执行方</t>
        </is>
      </c>
      <c r="G55" s="42" t="inlineStr">
        <is>
          <t>T34；T27</t>
        </is>
      </c>
      <c r="H55" s="47" t="inlineStr">
        <is>
          <t>L</t>
        </is>
      </c>
      <c r="I55" s="42" t="inlineStr">
        <is>
          <t>规则修订经确认；只有管理员启用且团队同意数据外发后才可使用云端；局域网繁忙时绝不自动切换；抠图与保真合成仍在本地</t>
        </is>
      </c>
      <c r="J55" s="40" t="inlineStr">
        <is>
          <t>C# 测试默认不走云端</t>
        </is>
      </c>
      <c r="K55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涉及局域网平台的需求以 docs/EcomCraft 局域网多服务器平台需求.zh-CN.md 为准，需求有变化先改该文档（中英文）。
任务：设计云端生成。这与 AGENTS.md 现行规则冲突：请先起草规则修订和需求文档 R10 的详细需求（执行方类型、数据外发同意、团队预算与每人额度、费用记录、失败处理、绝不自动切换），我确认后再实现。只把“生成”一步交给云端执行方。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55" s="46" t="inlineStr">
        <is>
          <t>未开始</t>
        </is>
      </c>
      <c r="M55" s="38" t="n"/>
      <c r="N55" s="44" t="inlineStr">
        <is>
          <t>会修改 AGENTS.md 规则，务必审阅</t>
        </is>
      </c>
    </row>
    <row r="56" ht="236.5" customHeight="1" s="23">
      <c r="A56" s="47" t="n">
        <v>52</v>
      </c>
      <c r="B56" s="47" t="inlineStr">
        <is>
          <t>T28</t>
        </is>
      </c>
      <c r="C56" s="40" t="inlineStr">
        <is>
          <t>预留：云端与定制</t>
        </is>
      </c>
      <c r="D56" s="33" t="inlineStr">
        <is>
          <t>F17</t>
        </is>
      </c>
      <c r="E56" s="40" t="inlineStr">
        <is>
          <t>品牌专属模型训练</t>
        </is>
      </c>
      <c r="F56" s="42" t="inlineStr">
        <is>
          <t>新增训练工作流与任务管理</t>
        </is>
      </c>
      <c r="G56" s="42" t="inlineStr">
        <is>
          <t>T17</t>
        </is>
      </c>
      <c r="H56" s="47" t="inlineStr">
        <is>
          <t>L</t>
        </is>
      </c>
      <c r="I56" s="42" t="inlineStr">
        <is>
          <t>管理员可用某品牌的商品图启动 LoRA 训练，训练结果可绑定到品牌资料包</t>
        </is>
      </c>
      <c r="J56" s="40" t="inlineStr">
        <is>
          <t>真机手动验证</t>
        </is>
      </c>
      <c r="K56" s="40" t="inlineStr">
        <is>
          <t>请先阅读 AGENTS.md 和 docs/EcomCraft Architecture.zh-CN.md，遵守 EcomCraft 规则：客户端只提交模板 / 工作流 ID、服务端发布的参数白名单和各类 ID，不提交任意 ComfyUI JSON 或文件路径；生成只发往已登记的执行服务器（本机或局域网 ComfyUI），不向任何云端生成服务发送请求；接口遵守最小披露。用户可见文字走中英文翻译表；涉及的文档中英文同步更新。
任务：调研并设计在本机或局域网执行服务器上训练品牌专属 LoRA 的流程（训练工具选择、显存需求、任务管理），训练结果绑定到品牌资料包。此功能先作为付费定制服务，产品化排在最后。
请先进入计划模式给出设计方案（改哪些文件、数据结构、接口、风险），我确认后再实现。
完成后：运行相关测试，执行 git diff --check，按 ecomcraft-docs-sync 技能同步文档，并列出改动文件和你做过的验证。</t>
        </is>
      </c>
      <c r="L56" s="46" t="inlineStr">
        <is>
          <t>未开始</t>
        </is>
      </c>
      <c r="M56" s="38" t="n"/>
      <c r="N56" s="44" t="n"/>
    </row>
    <row r="57"/>
    <row r="58" ht="32" customHeight="1" s="23">
      <c r="A58" s="40" t="inlineStr">
        <is>
          <t>规模：S 约半天以内，M 约 1–2 天，L 3 天以上（含你的验证时间，仅供粗略估计）。原 T03、T26 已分别并入 T13、T34。</t>
        </is>
      </c>
    </row>
  </sheetData>
  <autoFilter ref="A4:N37"/>
  <conditionalFormatting sqref="L5:L200">
    <cfRule type="expression" priority="1" dxfId="7">
      <formula>$L5="已完成"</formula>
    </cfRule>
    <cfRule type="expression" priority="2" dxfId="8">
      <formula>$L5="进行中"</formula>
    </cfRule>
  </conditionalFormatting>
  <dataValidations count="1">
    <dataValidation sqref="L5:L200" showDropDown="0" showInputMessage="0" showErrorMessage="0" allowBlank="1" type="list">
      <formula1>"未开始,进行中,已完成,暂缓"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22" min="1" max="1"/>
    <col width="26" customWidth="1" style="22" min="2" max="2"/>
    <col width="56" customWidth="1" style="22" min="3" max="3"/>
    <col width="16" customWidth="1" style="22" min="4" max="4"/>
    <col width="10" customWidth="1" style="22" min="5" max="6"/>
    <col width="20" customWidth="1" style="22" min="7" max="7"/>
  </cols>
  <sheetData>
    <row r="1" ht="17.35" customHeight="1" s="23">
      <c r="A1" s="28" t="inlineStr">
        <is>
          <t>非开发事项</t>
        </is>
      </c>
    </row>
    <row r="2" ht="15" customHeight="1" s="23">
      <c r="A2" s="29" t="inlineStr">
        <is>
          <t>这些事需要你自己完成，部分开发任务依赖它们。</t>
        </is>
      </c>
    </row>
    <row r="4" ht="17.15" customHeight="1" s="23">
      <c r="A4" s="30" t="inlineStr">
        <is>
          <t>编号</t>
        </is>
      </c>
      <c r="B4" s="30" t="inlineStr">
        <is>
          <t>事项</t>
        </is>
      </c>
      <c r="C4" s="30" t="inlineStr">
        <is>
          <t>说明</t>
        </is>
      </c>
      <c r="D4" s="30" t="inlineStr">
        <is>
          <t>关联</t>
        </is>
      </c>
      <c r="E4" s="30" t="inlineStr">
        <is>
          <t>状态</t>
        </is>
      </c>
      <c r="F4" s="30" t="inlineStr">
        <is>
          <t>负责人</t>
        </is>
      </c>
      <c r="G4" s="30" t="inlineStr">
        <is>
          <t>备注</t>
        </is>
      </c>
    </row>
    <row r="5" ht="35" customHeight="1" s="23">
      <c r="A5" s="47" t="inlineStr">
        <is>
          <t>N01</t>
        </is>
      </c>
      <c r="B5" s="40" t="inlineStr">
        <is>
          <t>选定可商用的基础模型</t>
        </is>
      </c>
      <c r="C5" s="40" t="inlineStr">
        <is>
          <t>优先评估指令编辑类模型；把“允许商用”作为第一条筛选标准，记录许可链接</t>
        </is>
      </c>
      <c r="D5" s="42" t="inlineStr">
        <is>
          <t>S1 → T14</t>
        </is>
      </c>
      <c r="E5" s="46" t="inlineStr">
        <is>
          <t>未开始</t>
        </is>
      </c>
      <c r="F5" s="44" t="n"/>
      <c r="G5" s="44" t="n"/>
    </row>
    <row r="6" ht="50.5" customHeight="1" s="23">
      <c r="A6" s="47" t="inlineStr">
        <is>
          <t>N02</t>
        </is>
      </c>
      <c r="B6" s="40" t="inlineStr">
        <is>
          <t>委托专家制作 4 个模板工作流</t>
        </is>
      </c>
      <c r="C6" s="40" t="inlineStr">
        <is>
          <t>白底主图、场景图、细节图、模特或手持图；必须同时输出商品蒙版；在 ComfyUI 社区或 Fiverr / Upwork 按单付费或分成合作</t>
        </is>
      </c>
      <c r="D6" s="42" t="inlineStr">
        <is>
          <t>S2 → T04、T07</t>
        </is>
      </c>
      <c r="E6" s="46" t="inlineStr">
        <is>
          <t>未开始</t>
        </is>
      </c>
      <c r="F6" s="44" t="n"/>
      <c r="G6" s="44" t="n"/>
    </row>
    <row r="7" ht="35" customHeight="1" s="23">
      <c r="A7" s="47" t="inlineStr">
        <is>
          <t>N03</t>
        </is>
      </c>
      <c r="B7" s="40" t="inlineStr">
        <is>
          <t>收集测试商品</t>
        </is>
      </c>
      <c r="C7" s="40" t="inlineStr">
        <is>
          <t>先在主攻品类收集约 15 个，再按“测试商品集”工作表的四类难点扩充到约 30 个</t>
        </is>
      </c>
      <c r="D7" s="42" t="inlineStr">
        <is>
          <t>S3 → T06</t>
        </is>
      </c>
      <c r="E7" s="46" t="inlineStr">
        <is>
          <t>未开始</t>
        </is>
      </c>
      <c r="F7" s="44" t="n"/>
      <c r="G7" s="44" t="n"/>
    </row>
    <row r="8" ht="19.5" customHeight="1" s="23">
      <c r="A8" s="47" t="inlineStr">
        <is>
          <t>N04</t>
        </is>
      </c>
      <c r="B8" s="40" t="inlineStr">
        <is>
          <t>制定付费定制服务价格</t>
        </is>
      </c>
      <c r="C8" s="40" t="inlineStr">
        <is>
          <t>标准模板覆盖不了的需求单独报价</t>
        </is>
      </c>
      <c r="D8" s="42" t="inlineStr">
        <is>
          <t>S7</t>
        </is>
      </c>
      <c r="E8" s="46" t="inlineStr">
        <is>
          <t>暂缓</t>
        </is>
      </c>
      <c r="F8" s="44" t="n"/>
      <c r="G8" s="44" t="inlineStr">
        <is>
          <t>MVP 后再定</t>
        </is>
      </c>
    </row>
    <row r="9" ht="35" customHeight="1" s="23">
      <c r="A9" s="47" t="inlineStr">
        <is>
          <t>N05</t>
        </is>
      </c>
      <c r="B9" s="40" t="inlineStr">
        <is>
          <t>开代做店验证需求</t>
        </is>
      </c>
      <c r="C9" s="40" t="inlineStr">
        <is>
          <t>闲鱼 / 淘宝 / Fiverr 挂出商品图代做服务</t>
        </is>
      </c>
      <c r="D9" s="42" t="inlineStr">
        <is>
          <t>获客与验证</t>
        </is>
      </c>
      <c r="E9" s="46" t="inlineStr">
        <is>
          <t>暂缓</t>
        </is>
      </c>
      <c r="F9" s="44" t="n"/>
      <c r="G9" s="44" t="inlineStr">
        <is>
          <t>当前不考虑自己接单，改为 N07</t>
        </is>
      </c>
    </row>
    <row r="10" ht="35" customHeight="1" s="23">
      <c r="A10" s="47" t="inlineStr">
        <is>
          <t>N06</t>
        </is>
      </c>
      <c r="B10" s="40" t="inlineStr">
        <is>
          <t>核对最新平台规范与合规细则</t>
        </is>
      </c>
      <c r="C10" s="40" t="inlineStr">
        <is>
          <t>开发前核对国内外平台的图片尺寸规范、亚马逊主图要求、欧盟 AI 法案的官方最新要求，必要时咨询律师</t>
        </is>
      </c>
      <c r="D10" s="42" t="inlineStr">
        <is>
          <t>T11、T19、T20</t>
        </is>
      </c>
      <c r="E10" s="46" t="inlineStr">
        <is>
          <t>未开始</t>
        </is>
      </c>
      <c r="F10" s="44" t="n"/>
      <c r="G10" s="44" t="n"/>
    </row>
    <row r="11" ht="35" customHeight="1" s="23">
      <c r="A11" s="47" t="inlineStr">
        <is>
          <t>N07</t>
        </is>
      </c>
      <c r="B11" s="40" t="inlineStr">
        <is>
          <t>种子团队试用</t>
        </is>
      </c>
      <c r="C11" s="40" t="inlineStr">
        <is>
          <t>MVP 发布后找 3–5 个电商团队试用，记录问题与需求，决定后续优先级</t>
        </is>
      </c>
      <c r="D11" s="42" t="inlineStr">
        <is>
          <t>获客与验证</t>
        </is>
      </c>
      <c r="E11" s="46" t="inlineStr">
        <is>
          <t>未开始</t>
        </is>
      </c>
      <c r="F11" s="44" t="n"/>
      <c r="G11" s="44" t="n"/>
    </row>
    <row r="12" ht="35" customHeight="1" s="23">
      <c r="A12" s="47" t="inlineStr">
        <is>
          <t>N08</t>
        </is>
      </c>
      <c r="B12" s="40" t="inlineStr">
        <is>
          <t>准备测试环境</t>
        </is>
      </c>
      <c r="C12" s="40" t="inlineStr">
        <is>
          <t>至少两台显卡电脑和一个 NAS 或共享文件夹，用于多机调度和存储实测</t>
        </is>
      </c>
      <c r="D12" s="42" t="inlineStr">
        <is>
          <t>T33、T37</t>
        </is>
      </c>
      <c r="E12" s="46" t="inlineStr">
        <is>
          <t>未开始</t>
        </is>
      </c>
      <c r="F12" s="44" t="n"/>
      <c r="G12" s="44" t="n"/>
    </row>
    <row r="13" ht="35" customHeight="1" s="23">
      <c r="A13" s="47" t="inlineStr">
        <is>
          <t>N09</t>
        </is>
      </c>
      <c r="B13" s="40" t="inlineStr">
        <is>
          <t>确定主攻品类</t>
        </is>
      </c>
      <c r="C13" s="40" t="inlineStr">
        <is>
          <t>选 1 个品类作为 MVP 模板调优的重点，并填入“品类预设矩阵”</t>
        </is>
      </c>
      <c r="D13" s="42" t="inlineStr">
        <is>
          <t>T04、T06</t>
        </is>
      </c>
      <c r="E13" s="46" t="inlineStr">
        <is>
          <t>未开始</t>
        </is>
      </c>
      <c r="F13" s="44" t="n"/>
      <c r="G13" s="44" t="n"/>
    </row>
  </sheetData>
  <conditionalFormatting sqref="E5:E100">
    <cfRule type="expression" priority="1" dxfId="7">
      <formula>$E5="已完成"</formula>
    </cfRule>
    <cfRule type="expression" priority="2" dxfId="8">
      <formula>$E5="进行中"</formula>
    </cfRule>
  </conditionalFormatting>
  <dataValidations count="1">
    <dataValidation sqref="E5:E100" showDropDown="0" showInputMessage="0" showErrorMessage="0" allowBlank="1" type="list">
      <formula1>"未开始,进行中,已完成,暂缓"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22" min="1" max="1"/>
    <col width="13" customWidth="1" style="22" min="2" max="2"/>
    <col width="22" customWidth="1" style="22" min="3" max="3"/>
    <col width="24" customWidth="1" style="22" min="4" max="4"/>
    <col width="46" customWidth="1" style="22" min="5" max="5"/>
    <col width="34" customWidth="1" style="22" min="6" max="6"/>
    <col width="40" customWidth="1" style="22" min="7" max="7"/>
    <col width="10" customWidth="1" style="22" min="8" max="8"/>
  </cols>
  <sheetData>
    <row r="1" ht="21.6" customHeight="1" s="23">
      <c r="A1" s="28" t="inlineStr">
        <is>
          <t>竞品分析（2026 年 10 月）</t>
        </is>
      </c>
    </row>
    <row r="2" ht="17.15" customHeight="1" s="23">
      <c r="A2" s="29" t="inlineStr">
        <is>
          <t>价格与功能来自公开资料，可能已变化；EcomGen、ecommerce-image-suite 数据来自第三方收录页。</t>
        </is>
      </c>
    </row>
    <row r="4" ht="17.15" customHeight="1" s="23">
      <c r="A4" s="30" t="inlineStr">
        <is>
          <t>竞品</t>
        </is>
      </c>
      <c r="B4" s="30" t="inlineStr">
        <is>
          <t>类型</t>
        </is>
      </c>
      <c r="C4" s="30" t="inlineStr">
        <is>
          <t>部署方式</t>
        </is>
      </c>
      <c r="D4" s="30" t="inlineStr">
        <is>
          <t>价格</t>
        </is>
      </c>
      <c r="E4" s="30" t="inlineStr">
        <is>
          <t>主要优势</t>
        </is>
      </c>
      <c r="F4" s="30" t="inlineStr">
        <is>
          <t>主要短板</t>
        </is>
      </c>
      <c r="G4" s="30" t="inlineStr">
        <is>
          <t>对我们的启示</t>
        </is>
      </c>
      <c r="H4" s="30" t="inlineStr">
        <is>
          <t>来源</t>
        </is>
      </c>
    </row>
    <row r="5" ht="48.5" customHeight="1" s="23">
      <c r="A5" s="39" t="inlineStr">
        <is>
          <t>ComfyUI App Mode / App Builder</t>
        </is>
      </c>
      <c r="B5" s="40" t="inlineStr">
        <is>
          <t>上游官方</t>
        </is>
      </c>
      <c r="C5" s="40" t="inlineStr">
        <is>
          <t>本地与 Comfy Cloud 均可</t>
        </is>
      </c>
      <c r="D5" s="40" t="inlineStr">
        <is>
          <t>免费（本地）</t>
        </is>
      </c>
      <c r="E5" s="40" t="inlineStr">
        <is>
          <t>官方出品、免费；一键把工作流变成只显示必要输入的简单界面；ComfyHub 社区共享应用；生态最大</t>
        </is>
      </c>
      <c r="F5" s="40" t="inlineStr">
        <is>
          <t>通用工具，没有电商专属能力（品类、品牌、批量 SKU、平台导出、合规、项目历史、团队审核）</t>
        </is>
      </c>
      <c r="G5" s="40" t="inlineStr">
        <is>
          <t>“给 ComfyUI 套简单界面”不再是卖点，必须靠电商专属功能区分；兼容其应用格式（F27）</t>
        </is>
      </c>
      <c r="H5" s="41" t="inlineStr">
        <is>
          <t>查看来源</t>
        </is>
      </c>
    </row>
    <row r="6" ht="48.5" customHeight="1" s="23">
      <c r="A6" s="39" t="inlineStr">
        <is>
          <t>EcomGen</t>
        </is>
      </c>
      <c r="B6" s="40" t="inlineStr">
        <is>
          <t>开源同类</t>
        </is>
      </c>
      <c r="C6" s="40" t="inlineStr">
        <is>
          <t>自托管，本地优先；生图调用 OpenAI 兼容或 Gemini 接口</t>
        </is>
      </c>
      <c r="D6" s="40" t="inlineStr">
        <is>
          <t>开源（许可未注明）</t>
        </is>
      </c>
      <c r="E6" s="40" t="inlineStr">
        <is>
          <t>面向个人卖家；25 个模板与可复用套图；商品像素保护；AI 分层导出 PNG/PSD；智能体生成分镜；审阅编辑与 ZIP 导出</t>
        </is>
      </c>
      <c r="F6" s="40" t="inlineStr">
        <is>
          <t>生图依赖外部接口，数据与成本仍在云端；未见团队权限与 ComfyUI 支持</t>
        </is>
      </c>
      <c r="G6" s="40" t="inlineStr">
        <is>
          <t>与 MVP-B（电商出图）高度重合，需加快；我们的差异是完全本地生成、局域网多机调度与团队协作；借鉴分镜与 PSD（F25、F26）</t>
        </is>
      </c>
      <c r="H6" s="41" t="inlineStr">
        <is>
          <t>查看来源</t>
        </is>
      </c>
    </row>
    <row r="7" ht="48.5" customHeight="1" s="23">
      <c r="A7" s="39" t="inlineStr">
        <is>
          <t>ecommerce-image-suite</t>
        </is>
      </c>
      <c r="B7" s="40" t="inlineStr">
        <is>
          <t>开源同类</t>
        </is>
      </c>
      <c r="C7" s="40" t="inlineStr">
        <is>
          <t>本地运行脚本，生图调用通义、豆包、OpenAI 等接口</t>
        </is>
      </c>
      <c r="D7" s="40" t="inlineStr">
        <is>
          <t>开源（许可状态不清）</t>
        </is>
      </c>
      <c r="E7" s="40" t="inlineStr">
        <is>
          <t>约 460 星；覆盖 9 类电商图（白底主图、材质特写、模特图、详情页等）；按国内外平台规格输出；商品图分析与卖点提炼</t>
        </is>
      </c>
      <c r="F7" s="40" t="inlineStr">
        <is>
          <t>命令行工具，无图形界面；必须有付费接口密钥</t>
        </is>
      </c>
      <c r="G7" s="40" t="inlineStr">
        <is>
          <t>说明“卖点分析 → 套图”需求真实存在；我们用本地模型 + 图形界面做得更易用</t>
        </is>
      </c>
      <c r="H7" s="41" t="inlineStr">
        <is>
          <t>查看来源</t>
        </is>
      </c>
    </row>
    <row r="8" ht="48.5" customHeight="1" s="23">
      <c r="A8" s="39" t="inlineStr">
        <is>
          <t>Invoke</t>
        </is>
      </c>
      <c r="B8" s="40" t="inlineStr">
        <is>
          <t>团队创作平台</t>
        </is>
      </c>
      <c r="C8" s="40" t="inlineStr">
        <is>
          <t>云端托管（开源社区版可本地）</t>
        </is>
      </c>
      <c r="D8" s="40" t="inlineStr">
        <is>
          <t>专业版 $79/月（年付）或 $99/月；企业版面议</t>
        </is>
      </c>
      <c r="E8" s="40" t="inlineStr">
        <is>
          <t>专业版提供多用户、基于角色的权限、共享图片/工作流/模型；企业版有 SSO 与定制工作流服务</t>
        </is>
      </c>
      <c r="F8" s="40" t="inlineStr">
        <is>
          <t>通用创意平台，非电商专用</t>
        </is>
      </c>
      <c r="G8" s="40" t="inlineStr">
        <is>
          <t>我们团队版定价与功能的直接参照（F11、F16）</t>
        </is>
      </c>
      <c r="H8" s="41" t="inlineStr">
        <is>
          <t>查看来源</t>
        </is>
      </c>
    </row>
    <row r="9" ht="64.15000000000001" customHeight="1" s="23">
      <c r="A9" s="39" t="inlineStr">
        <is>
          <t>Photoroom</t>
        </is>
      </c>
      <c r="B9" s="40" t="inlineStr">
        <is>
          <t>海外 SaaS</t>
        </is>
      </c>
      <c r="C9" s="40" t="inlineStr">
        <is>
          <t>云端</t>
        </is>
      </c>
      <c r="D9" s="42" t="inlineStr">
        <is>
          <t>Pro $7.99/月；Max $26.99/月；Ultra 约 $99/月起；API 约 $0.02–0.10/张</t>
        </is>
      </c>
      <c r="E9" s="40" t="inlineStr">
        <is>
          <t>价格低；批量编辑；1000+ 模板覆盖 Shopify、亚马逊与社媒尺寸；Shopify 直接发布与 SEO；手机端；API</t>
        </is>
      </c>
      <c r="F9" s="40" t="inlineStr">
        <is>
          <t>积分与批量上限使实际成本难预测；复杂或反光商品场景易显假；大团队一致性控制较弱</t>
        </is>
      </c>
      <c r="G9" s="40" t="inlineStr">
        <is>
          <t>小卖家价格战打不赢；我们强调高出图量、私有数据和品类一致性</t>
        </is>
      </c>
      <c r="H9" s="41" t="inlineStr">
        <is>
          <t>查看来源</t>
        </is>
      </c>
    </row>
    <row r="10" ht="48.5" customHeight="1" s="23">
      <c r="A10" s="39" t="inlineStr">
        <is>
          <t>Claid.ai</t>
        </is>
      </c>
      <c r="B10" s="40" t="inlineStr">
        <is>
          <t>海外 SaaS</t>
        </is>
      </c>
      <c r="C10" s="40" t="inlineStr">
        <is>
          <t>云端 + API</t>
        </is>
      </c>
      <c r="D10" s="40" t="inlineStr">
        <is>
          <t>按积分；企业面议</t>
        </is>
      </c>
      <c r="E10" s="40" t="inlineStr">
        <is>
          <t>面向目录级量产；API 可串联抠图、放大、生成背景、阴影、图转视频等；服装平铺转模特</t>
        </is>
      </c>
      <c r="F10" s="40" t="inlineStr">
        <is>
          <t>简单任务单价高于 Photoroom；深度定制需走销售</t>
        </is>
      </c>
      <c r="G10" s="40" t="inlineStr">
        <is>
          <t>大客户需要“流水线”能力：批量 + 一致性 + 可编排，这正是模板 + 品类预设 + 批量的方向</t>
        </is>
      </c>
      <c r="H10" s="41" t="inlineStr">
        <is>
          <t>查看来源</t>
        </is>
      </c>
    </row>
    <row r="11" ht="32.8" customHeight="1" s="23">
      <c r="A11" s="43" t="inlineStr">
        <is>
          <t>美图设计室</t>
        </is>
      </c>
      <c r="B11" s="40" t="inlineStr">
        <is>
          <t>国内 SaaS</t>
        </is>
      </c>
      <c r="C11" s="40" t="inlineStr">
        <is>
          <t>云端</t>
        </is>
      </c>
      <c r="D11" s="40" t="inlineStr">
        <is>
          <t>约 1.36 元/张（测评口径）</t>
        </is>
      </c>
      <c r="E11" s="40" t="inlineStr">
        <is>
          <t>零门槛、界面友好、功能全；出图快</t>
        </is>
      </c>
      <c r="F11" s="40" t="inlineStr">
        <is>
          <t>结果偏模板化、辨识度较低</t>
        </is>
      </c>
      <c r="G11" s="40" t="inlineStr">
        <is>
          <t>国内小卖家市场已被低价工具覆盖</t>
        </is>
      </c>
      <c r="H11" s="41" t="inlineStr">
        <is>
          <t>查看来源</t>
        </is>
      </c>
    </row>
    <row r="12" ht="32.8" customHeight="1" s="23">
      <c r="A12" s="39" t="inlineStr">
        <is>
          <t>LinkFox</t>
        </is>
      </c>
      <c r="B12" s="40" t="inlineStr">
        <is>
          <t>国内 SaaS</t>
        </is>
      </c>
      <c r="C12" s="40" t="inlineStr">
        <is>
          <t>云端</t>
        </is>
      </c>
      <c r="D12" s="40" t="inlineStr">
        <is>
          <t>测评未给出</t>
        </is>
      </c>
      <c r="E12" s="40" t="inlineStr">
        <is>
          <t>对话式生图；商品库批量管理；适合跨境大批量</t>
        </is>
      </c>
      <c r="F12" s="40" t="inlineStr">
        <is>
          <t>生成较慢；偏跨境</t>
        </is>
      </c>
      <c r="G12" s="40" t="inlineStr">
        <is>
          <t>“商品库 + 批量管理”是大批量用户刚需，对应项目归档（F04）</t>
        </is>
      </c>
      <c r="H12" s="41" t="inlineStr">
        <is>
          <t>查看来源</t>
        </is>
      </c>
    </row>
    <row r="13" ht="32.8" customHeight="1" s="23">
      <c r="A13" s="43" t="inlineStr">
        <is>
          <t>绘蛙</t>
        </is>
      </c>
      <c r="B13" s="40" t="inlineStr">
        <is>
          <t>国内 SaaS（阿里系）</t>
        </is>
      </c>
      <c r="C13" s="40" t="inlineStr">
        <is>
          <t>云端</t>
        </is>
      </c>
      <c r="D13" s="40" t="inlineStr">
        <is>
          <t>限时免费（测评时）</t>
        </is>
      </c>
      <c r="E13" s="40" t="inlineStr">
        <is>
          <t>一次生成十张以上详情套图；参考图风格模板减少调提示词；面料质感保持好</t>
        </is>
      </c>
      <c r="F13" s="40" t="inlineStr">
        <is>
          <t>菜单入口多，上手需时间</t>
        </is>
      </c>
      <c r="G13" s="40" t="inlineStr">
        <is>
          <t>“参考图定风格”验证了品牌资料包思路（F12）</t>
        </is>
      </c>
      <c r="H13" s="41" t="inlineStr">
        <is>
          <t>查看来源</t>
        </is>
      </c>
    </row>
    <row r="14" ht="32.8" customHeight="1" s="23">
      <c r="A14" s="43" t="inlineStr">
        <is>
          <t>潮际好麦</t>
        </is>
      </c>
      <c r="B14" s="40" t="inlineStr">
        <is>
          <t>国内 SaaS</t>
        </is>
      </c>
      <c r="C14" s="40" t="inlineStr">
        <is>
          <t>云端</t>
        </is>
      </c>
      <c r="D14" s="40" t="inlineStr">
        <is>
          <t>约 1.4 元/张（测评口径）</t>
        </is>
      </c>
      <c r="E14" s="40" t="inlineStr">
        <is>
          <t>服装模特图有特色；自动生成营销主题句</t>
        </is>
      </c>
      <c r="F14" s="40" t="inlineStr">
        <is>
          <t>出图数量少；非服装品类较弱</t>
        </is>
      </c>
      <c r="G14" s="40" t="inlineStr">
        <is>
          <t>垂直品类做深也能立足；可考虑先主攻一两个品类</t>
        </is>
      </c>
      <c r="H14" s="41" t="inlineStr">
        <is>
          <t>查看来源</t>
        </is>
      </c>
    </row>
  </sheetData>
  <hyperlinks>
    <hyperlink xmlns:r="http://schemas.openxmlformats.org/officeDocument/2006/relationships" ref="H5" display="查看来源" r:id="rId1"/>
    <hyperlink xmlns:r="http://schemas.openxmlformats.org/officeDocument/2006/relationships" ref="H6" display="查看来源" r:id="rId2"/>
    <hyperlink xmlns:r="http://schemas.openxmlformats.org/officeDocument/2006/relationships" ref="H7" display="查看来源" r:id="rId3"/>
    <hyperlink xmlns:r="http://schemas.openxmlformats.org/officeDocument/2006/relationships" ref="H8" display="查看来源" r:id="rId4"/>
    <hyperlink xmlns:r="http://schemas.openxmlformats.org/officeDocument/2006/relationships" ref="H9" display="查看来源" r:id="rId5"/>
    <hyperlink xmlns:r="http://schemas.openxmlformats.org/officeDocument/2006/relationships" ref="H10" display="查看来源" r:id="rId6"/>
    <hyperlink xmlns:r="http://schemas.openxmlformats.org/officeDocument/2006/relationships" ref="H11" display="查看来源" r:id="rId7"/>
    <hyperlink xmlns:r="http://schemas.openxmlformats.org/officeDocument/2006/relationships" ref="H12" display="查看来源" r:id="rId8"/>
    <hyperlink xmlns:r="http://schemas.openxmlformats.org/officeDocument/2006/relationships" ref="H13" display="查看来源" r:id="rId9"/>
    <hyperlink xmlns:r="http://schemas.openxmlformats.org/officeDocument/2006/relationships" ref="H14" display="查看来源" r:id="rId1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2" min="1" max="1"/>
    <col width="18" customWidth="1" style="22" min="2" max="2"/>
    <col width="30" customWidth="1" style="22" min="3" max="3"/>
    <col width="10" customWidth="1" style="22" min="4" max="5"/>
    <col width="24" customWidth="1" style="22" min="6" max="6"/>
  </cols>
  <sheetData>
    <row r="1" ht="21.6" customHeight="1" s="23">
      <c r="A1" s="28" t="inlineStr">
        <is>
          <t>模板测试商品集（目标约 30 个）</t>
        </is>
      </c>
    </row>
    <row r="2" ht="17.15" customHeight="1" s="23">
      <c r="A2" s="29" t="inlineStr">
        <is>
          <t>先在主攻品类收集约 15 个（N03、N09），再按四类难点扩充到约 30 个；合计与进度自动计算。</t>
        </is>
      </c>
    </row>
    <row r="4" ht="17.15" customHeight="1" s="23">
      <c r="A4" s="30" t="inlineStr">
        <is>
          <t>难点类型</t>
        </is>
      </c>
      <c r="B4" s="30" t="inlineStr">
        <is>
          <t>示例商品</t>
        </is>
      </c>
      <c r="C4" s="30" t="inlineStr">
        <is>
          <t>为什么难</t>
        </is>
      </c>
      <c r="D4" s="30" t="inlineStr">
        <is>
          <t>计划数量</t>
        </is>
      </c>
      <c r="E4" s="30" t="inlineStr">
        <is>
          <t>已收集</t>
        </is>
      </c>
      <c r="F4" s="30" t="inlineStr">
        <is>
          <t>备注</t>
        </is>
      </c>
    </row>
    <row r="5" ht="17.15" customHeight="1" s="23">
      <c r="A5" s="40" t="inlineStr">
        <is>
          <t>反光</t>
        </is>
      </c>
      <c r="B5" s="40" t="inlineStr">
        <is>
          <t>首饰、电器</t>
        </is>
      </c>
      <c r="C5" s="40" t="inlineStr">
        <is>
          <t>高光与倒影容易被 AI 改坏</t>
        </is>
      </c>
      <c r="D5" s="44" t="n">
        <v>8</v>
      </c>
      <c r="E5" s="44" t="n">
        <v>0</v>
      </c>
      <c r="F5" s="44" t="n"/>
    </row>
    <row r="6" ht="17.15" customHeight="1" s="23">
      <c r="A6" s="40" t="inlineStr">
        <is>
          <t>透明</t>
        </is>
      </c>
      <c r="B6" s="40" t="inlineStr">
        <is>
          <t>玻璃瓶、香水</t>
        </is>
      </c>
      <c r="C6" s="40" t="inlineStr">
        <is>
          <t>透光与背景融合难以保真</t>
        </is>
      </c>
      <c r="D6" s="44" t="n">
        <v>8</v>
      </c>
      <c r="E6" s="44" t="n">
        <v>0</v>
      </c>
      <c r="F6" s="44" t="n"/>
    </row>
    <row r="7" ht="17.15" customHeight="1" s="23">
      <c r="A7" s="40" t="inlineStr">
        <is>
          <t>带文字</t>
        </is>
      </c>
      <c r="B7" s="40" t="inlineStr">
        <is>
          <t>包装盒</t>
        </is>
      </c>
      <c r="C7" s="40" t="inlineStr">
        <is>
          <t>文字和 Logo 容易被重绘变形</t>
        </is>
      </c>
      <c r="D7" s="44" t="n">
        <v>8</v>
      </c>
      <c r="E7" s="44" t="n">
        <v>0</v>
      </c>
      <c r="F7" s="44" t="n"/>
    </row>
    <row r="8" ht="17.15" customHeight="1" s="23">
      <c r="A8" s="40" t="inlineStr">
        <is>
          <t>软质</t>
        </is>
      </c>
      <c r="B8" s="40" t="inlineStr">
        <is>
          <t>衣服、包</t>
        </is>
      </c>
      <c r="C8" s="40" t="inlineStr">
        <is>
          <t>形状易被改动，褶皱不自然</t>
        </is>
      </c>
      <c r="D8" s="44" t="n">
        <v>6</v>
      </c>
      <c r="E8" s="44" t="n">
        <v>0</v>
      </c>
      <c r="F8" s="44" t="n"/>
    </row>
    <row r="9" ht="17.15" customHeight="1" s="23">
      <c r="A9" s="43" t="inlineStr">
        <is>
          <t>合计</t>
        </is>
      </c>
      <c r="D9" s="43">
        <f>SUM(D5:D8)</f>
        <v/>
      </c>
      <c r="E9" s="43">
        <f>SUM(E5:E8)</f>
        <v/>
      </c>
    </row>
    <row r="10" ht="17.15" customHeight="1" s="23">
      <c r="A10" s="43" t="inlineStr">
        <is>
          <t>收集进度</t>
        </is>
      </c>
      <c r="E10" s="45">
        <f>IF(D9=0,0,E9/D9)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2" min="1" max="1"/>
    <col width="11" customWidth="1" style="22" min="2" max="7"/>
    <col width="9" customWidth="1" style="22" min="8" max="8"/>
  </cols>
  <sheetData>
    <row r="1" ht="21.6" customHeight="1" s="23">
      <c r="A1" s="28" t="inlineStr">
        <is>
          <t>模板 × 品类预设进度</t>
        </is>
      </c>
    </row>
    <row r="2" ht="17.15" customHeight="1" s="23">
      <c r="A2" s="29" t="inlineStr">
        <is>
          <t>每格从下拉选择进度；“待定”请改成你主攻的品类（N09）。MVP 先只调主攻品类，品类预设机制（F19）在 MVP 之后开发。</t>
        </is>
      </c>
    </row>
    <row r="4" ht="17.15" customHeight="1" s="23">
      <c r="A4" s="30" t="inlineStr">
        <is>
          <t>模板 \ 品类</t>
        </is>
      </c>
      <c r="B4" s="30" t="inlineStr">
        <is>
          <t>首饰</t>
        </is>
      </c>
      <c r="C4" s="30" t="inlineStr">
        <is>
          <t>化妆品</t>
        </is>
      </c>
      <c r="D4" s="30" t="inlineStr">
        <is>
          <t>服装</t>
        </is>
      </c>
      <c r="E4" s="30" t="inlineStr">
        <is>
          <t>电子产品</t>
        </is>
      </c>
      <c r="F4" s="30" t="inlineStr">
        <is>
          <t>（待定）</t>
        </is>
      </c>
      <c r="G4" s="30" t="inlineStr">
        <is>
          <t>（待定）</t>
        </is>
      </c>
      <c r="H4" s="30" t="inlineStr">
        <is>
          <t>已调好</t>
        </is>
      </c>
    </row>
    <row r="5" ht="17.15" customHeight="1" s="23">
      <c r="A5" s="43" t="inlineStr">
        <is>
          <t>白底主图</t>
        </is>
      </c>
      <c r="B5" s="46" t="inlineStr">
        <is>
          <t>未开始</t>
        </is>
      </c>
      <c r="C5" s="46" t="inlineStr">
        <is>
          <t>未开始</t>
        </is>
      </c>
      <c r="D5" s="46" t="inlineStr">
        <is>
          <t>未开始</t>
        </is>
      </c>
      <c r="E5" s="46" t="inlineStr">
        <is>
          <t>未开始</t>
        </is>
      </c>
      <c r="F5" s="46" t="inlineStr">
        <is>
          <t>未开始</t>
        </is>
      </c>
      <c r="G5" s="46" t="inlineStr">
        <is>
          <t>未开始</t>
        </is>
      </c>
      <c r="H5" s="47">
        <f>COUNTIF(B5:G5,"已调好")</f>
        <v/>
      </c>
    </row>
    <row r="6" ht="17.15" customHeight="1" s="23">
      <c r="A6" s="43" t="inlineStr">
        <is>
          <t>场景图</t>
        </is>
      </c>
      <c r="B6" s="46" t="inlineStr">
        <is>
          <t>未开始</t>
        </is>
      </c>
      <c r="C6" s="46" t="inlineStr">
        <is>
          <t>未开始</t>
        </is>
      </c>
      <c r="D6" s="46" t="inlineStr">
        <is>
          <t>未开始</t>
        </is>
      </c>
      <c r="E6" s="46" t="inlineStr">
        <is>
          <t>未开始</t>
        </is>
      </c>
      <c r="F6" s="46" t="inlineStr">
        <is>
          <t>未开始</t>
        </is>
      </c>
      <c r="G6" s="46" t="inlineStr">
        <is>
          <t>未开始</t>
        </is>
      </c>
      <c r="H6" s="47">
        <f>COUNTIF(B6:G6,"已调好")</f>
        <v/>
      </c>
    </row>
    <row r="7" ht="17.15" customHeight="1" s="23">
      <c r="A7" s="43" t="inlineStr">
        <is>
          <t>细节图</t>
        </is>
      </c>
      <c r="B7" s="46" t="inlineStr">
        <is>
          <t>未开始</t>
        </is>
      </c>
      <c r="C7" s="46" t="inlineStr">
        <is>
          <t>未开始</t>
        </is>
      </c>
      <c r="D7" s="46" t="inlineStr">
        <is>
          <t>未开始</t>
        </is>
      </c>
      <c r="E7" s="46" t="inlineStr">
        <is>
          <t>未开始</t>
        </is>
      </c>
      <c r="F7" s="46" t="inlineStr">
        <is>
          <t>未开始</t>
        </is>
      </c>
      <c r="G7" s="46" t="inlineStr">
        <is>
          <t>未开始</t>
        </is>
      </c>
      <c r="H7" s="47">
        <f>COUNTIF(B7:G7,"已调好")</f>
        <v/>
      </c>
    </row>
    <row r="8" ht="17.15" customHeight="1" s="23">
      <c r="A8" s="43" t="inlineStr">
        <is>
          <t>模特或手持图</t>
        </is>
      </c>
      <c r="B8" s="46" t="inlineStr">
        <is>
          <t>未开始</t>
        </is>
      </c>
      <c r="C8" s="46" t="inlineStr">
        <is>
          <t>未开始</t>
        </is>
      </c>
      <c r="D8" s="46" t="inlineStr">
        <is>
          <t>未开始</t>
        </is>
      </c>
      <c r="E8" s="46" t="inlineStr">
        <is>
          <t>未开始</t>
        </is>
      </c>
      <c r="F8" s="46" t="inlineStr">
        <is>
          <t>未开始</t>
        </is>
      </c>
      <c r="G8" s="46" t="inlineStr">
        <is>
          <t>未开始</t>
        </is>
      </c>
      <c r="H8" s="47">
        <f>COUNTIF(B8:G8,"已调好")</f>
        <v/>
      </c>
    </row>
    <row r="9" ht="17.15" customHeight="1" s="23">
      <c r="A9" s="43" t="inlineStr">
        <is>
          <t>商品展示视频（后续）</t>
        </is>
      </c>
      <c r="B9" s="46" t="inlineStr">
        <is>
          <t>未开始</t>
        </is>
      </c>
      <c r="C9" s="46" t="inlineStr">
        <is>
          <t>未开始</t>
        </is>
      </c>
      <c r="D9" s="46" t="inlineStr">
        <is>
          <t>未开始</t>
        </is>
      </c>
      <c r="E9" s="46" t="inlineStr">
        <is>
          <t>未开始</t>
        </is>
      </c>
      <c r="F9" s="46" t="inlineStr">
        <is>
          <t>未开始</t>
        </is>
      </c>
      <c r="G9" s="46" t="inlineStr">
        <is>
          <t>未开始</t>
        </is>
      </c>
      <c r="H9" s="47">
        <f>COUNTIF(B9:G9,"已调好")</f>
        <v/>
      </c>
    </row>
    <row r="10" ht="17.15" customHeight="1" s="23">
      <c r="A10" s="43" t="inlineStr">
        <is>
          <t>合计</t>
        </is>
      </c>
      <c r="H10" s="51">
        <f>SUM(H5:H9)</f>
        <v/>
      </c>
    </row>
    <row r="11" ht="17.15" customHeight="1" s="23">
      <c r="A11" s="43" t="inlineStr">
        <is>
          <t>完成率</t>
        </is>
      </c>
      <c r="H11" s="52">
        <f>H10/30</f>
        <v/>
      </c>
    </row>
  </sheetData>
  <conditionalFormatting sqref="B5:G9">
    <cfRule type="expression" rank="0" priority="2" equalAverage="0" aboveAverage="0" dxfId="5" text="" percent="0" bottom="0">
      <formula>B5="已调好"</formula>
    </cfRule>
    <cfRule type="expression" rank="0" priority="3" equalAverage="0" aboveAverage="0" dxfId="6" text="" percent="0" bottom="0">
      <formula>B5="测试中"</formula>
    </cfRule>
  </conditionalFormatting>
  <dataValidations count="1">
    <dataValidation sqref="B5:G9" showDropDown="0" showInputMessage="0" showErrorMessage="0" allowBlank="0" type="list" errorStyle="stop" operator="between">
      <formula1>"未开始,测试中,已调好,不适用"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2" min="1" max="1"/>
    <col width="8" customWidth="1" style="22" min="2" max="2"/>
    <col width="10" customWidth="1" style="22" min="3" max="6"/>
    <col width="36" customWidth="1" style="22" min="7" max="7"/>
  </cols>
  <sheetData>
    <row r="1" ht="17.35" customHeight="1" s="23">
      <c r="A1" s="28" t="inlineStr">
        <is>
          <t>阶段汇总</t>
        </is>
      </c>
    </row>
    <row r="2" ht="15" customHeight="1" s="23">
      <c r="A2" s="29" t="inlineStr">
        <is>
          <t>全部自动计算。</t>
        </is>
      </c>
    </row>
    <row r="4" ht="32.8" customHeight="1" s="23">
      <c r="A4" s="30" t="inlineStr">
        <is>
          <t>阶段</t>
        </is>
      </c>
      <c r="B4" s="30" t="inlineStr">
        <is>
          <t>功能数</t>
        </is>
      </c>
      <c r="C4" s="30" t="inlineStr">
        <is>
          <t>开发任务数</t>
        </is>
      </c>
      <c r="D4" s="30" t="inlineStr">
        <is>
          <t>已完成任务</t>
        </is>
      </c>
      <c r="E4" s="30" t="inlineStr">
        <is>
          <t>进行中任务</t>
        </is>
      </c>
      <c r="F4" s="30" t="inlineStr">
        <is>
          <t>任务完成率</t>
        </is>
      </c>
      <c r="G4" s="30" t="inlineStr">
        <is>
          <t>收入来源</t>
        </is>
      </c>
    </row>
    <row r="5" ht="35" customHeight="1" s="23">
      <c r="A5" s="43" t="inlineStr">
        <is>
          <t>MVP-A：平台底座</t>
        </is>
      </c>
      <c r="B5" s="47">
        <f>COUNTIF(功能总表!$B$5:$B$200,A5)</f>
        <v/>
      </c>
      <c r="C5" s="47">
        <f>COUNTIF(开发任务!$C$5:$C$200,A5)</f>
        <v/>
      </c>
      <c r="D5" s="47">
        <f>COUNTIFS(开发任务!$C$5:$C$200,A5,开发任务!$L$5:$L$200,"已完成")</f>
        <v/>
      </c>
      <c r="E5" s="47">
        <f>COUNTIFS(开发任务!$C$5:$C$200,A5,开发任务!$L$5:$L$200,"进行中")</f>
        <v/>
      </c>
      <c r="F5" s="50">
        <f>IF(C5=0,0,D5/C5)</f>
        <v/>
      </c>
      <c r="G5" s="40" t="inlineStr">
        <is>
          <t>部署安装服务（一台或多台显卡电脑 + 局域网访问）</t>
        </is>
      </c>
    </row>
    <row r="6" ht="35" customHeight="1" s="23">
      <c r="A6" s="43" t="inlineStr">
        <is>
          <t>MVP-B：电商出图</t>
        </is>
      </c>
      <c r="B6" s="47">
        <f>COUNTIF(功能总表!$B$5:$B$200,A6)</f>
        <v/>
      </c>
      <c r="C6" s="47">
        <f>COUNTIF(开发任务!$C$5:$C$200,A6)</f>
        <v/>
      </c>
      <c r="D6" s="47">
        <f>COUNTIFS(开发任务!$C$5:$C$200,A6,开发任务!$L$5:$L$200,"已完成")</f>
        <v/>
      </c>
      <c r="E6" s="47">
        <f>COUNTIFS(开发任务!$C$5:$C$200,A6,开发任务!$L$5:$L$200,"进行中")</f>
        <v/>
      </c>
      <c r="F6" s="50">
        <f>IF(C6=0,0,D6/C6)</f>
        <v/>
      </c>
      <c r="G6" s="40" t="inlineStr">
        <is>
          <t>部署安装服务；种子团队试用（N07）</t>
        </is>
      </c>
    </row>
    <row r="7" ht="19.5" customHeight="1" s="23">
      <c r="A7" s="43" t="inlineStr">
        <is>
          <t>MVP-C：易用与运维</t>
        </is>
      </c>
      <c r="B7" s="47">
        <f>COUNTIF(功能总表!$B$5:$B$200,A7)</f>
        <v/>
      </c>
      <c r="C7" s="47">
        <f>COUNTIF(开发任务!$C$5:$C$200,A7)</f>
        <v/>
      </c>
      <c r="D7" s="47">
        <f>COUNTIFS(开发任务!$C$5:$C$200,A7,开发任务!$L$5:$L$200,"已完成")</f>
        <v/>
      </c>
      <c r="E7" s="47">
        <f>COUNTIFS(开发任务!$C$5:$C$200,A7,开发任务!$L$5:$L$200,"进行中")</f>
        <v/>
      </c>
      <c r="F7" s="50">
        <f>IF(C7=0,0,D7/C7)</f>
        <v/>
      </c>
      <c r="G7" s="40" t="inlineStr">
        <is>
          <t>部署安装服务、技术支持</t>
        </is>
      </c>
    </row>
    <row r="8" ht="19.5" customHeight="1" s="23">
      <c r="A8" s="43" t="inlineStr">
        <is>
          <t>后续：功能增强</t>
        </is>
      </c>
      <c r="B8" s="47">
        <f>COUNTIF(功能总表!$B$5:$B$200,A8)</f>
        <v/>
      </c>
      <c r="C8" s="47">
        <f>COUNTIF(开发任务!$C$5:$C$200,A8)</f>
        <v/>
      </c>
      <c r="D8" s="47">
        <f>COUNTIFS(开发任务!$C$5:$C$200,A8,开发任务!$L$5:$L$200,"已完成")</f>
        <v/>
      </c>
      <c r="E8" s="47">
        <f>COUNTIFS(开发任务!$C$5:$C$200,A8,开发任务!$L$5:$L$200,"进行中")</f>
        <v/>
      </c>
      <c r="F8" s="50">
        <f>IF(C8=0,0,D8/C8)</f>
        <v/>
      </c>
      <c r="G8" s="40" t="inlineStr">
        <is>
          <t>付费模板包、定制服务</t>
        </is>
      </c>
    </row>
    <row r="9" ht="19.5" customHeight="1" s="23">
      <c r="A9" s="43" t="inlineStr">
        <is>
          <t>后续：团队与商业化</t>
        </is>
      </c>
      <c r="B9" s="47">
        <f>COUNTIF(功能总表!$B$5:$B$200,A9)</f>
        <v/>
      </c>
      <c r="C9" s="47">
        <f>COUNTIF(开发任务!$C$5:$C$200,A9)</f>
        <v/>
      </c>
      <c r="D9" s="47">
        <f>COUNTIFS(开发任务!$C$5:$C$200,A9,开发任务!$L$5:$L$200,"已完成")</f>
        <v/>
      </c>
      <c r="E9" s="47">
        <f>COUNTIFS(开发任务!$C$5:$C$200,A9,开发任务!$L$5:$L$200,"进行中")</f>
        <v/>
      </c>
      <c r="F9" s="50">
        <f>IF(C9=0,0,D9/C9)</f>
        <v/>
      </c>
      <c r="G9" s="40" t="inlineStr">
        <is>
          <t>团队版年费授权</t>
        </is>
      </c>
    </row>
    <row r="10" ht="19.5" customHeight="1" s="23">
      <c r="A10" s="43" t="inlineStr">
        <is>
          <t>预留：云端与定制</t>
        </is>
      </c>
      <c r="B10" s="47">
        <f>COUNTIF(功能总表!$B$5:$B$200,A10)</f>
        <v/>
      </c>
      <c r="C10" s="47">
        <f>COUNTIF(开发任务!$C$5:$C$200,A10)</f>
        <v/>
      </c>
      <c r="D10" s="47">
        <f>COUNTIFS(开发任务!$C$5:$C$200,A10,开发任务!$L$5:$L$200,"已完成")</f>
        <v/>
      </c>
      <c r="E10" s="47">
        <f>COUNTIFS(开发任务!$C$5:$C$200,A10,开发任务!$L$5:$L$200,"进行中")</f>
        <v/>
      </c>
      <c r="F10" s="50">
        <f>IF(C10=0,0,D10/C10)</f>
        <v/>
      </c>
      <c r="G10" s="40" t="inlineStr">
        <is>
          <t>云端额度、品牌模型训练</t>
        </is>
      </c>
    </row>
    <row r="11" ht="17.15" customHeight="1" s="23">
      <c r="A11" s="43" t="inlineStr">
        <is>
          <t>合计</t>
        </is>
      </c>
      <c r="B11" s="51">
        <f>SUM(B5:B10)</f>
        <v/>
      </c>
      <c r="C11" s="51">
        <f>SUM(C5:C10)</f>
        <v/>
      </c>
      <c r="D11" s="51">
        <f>SUM(D5:D10)</f>
        <v/>
      </c>
      <c r="E11" s="51">
        <f>SUM(E5:E10)</f>
        <v/>
      </c>
      <c r="F11" s="52">
        <f>IF(C11=0,0,D11/C11)</f>
        <v/>
      </c>
    </row>
    <row r="12" ht="17.15" customHeight="1" s="23">
      <c r="A12" s="43" t="inlineStr">
        <is>
          <t>其中 MVP（A + B + C）</t>
        </is>
      </c>
      <c r="B12" s="51">
        <f>SUM(B5:B7)</f>
        <v/>
      </c>
      <c r="C12" s="51">
        <f>SUM(C5:C7)</f>
        <v/>
      </c>
      <c r="D12" s="51">
        <f>SUM(D5:D7)</f>
        <v/>
      </c>
      <c r="E12" s="51">
        <f>SUM(E5:E7)</f>
        <v/>
      </c>
      <c r="F12" s="52">
        <f>IF(C12=0,0,D12/C12)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2" min="1" max="1"/>
    <col width="60" customWidth="1" style="22" min="2" max="2"/>
  </cols>
  <sheetData>
    <row r="1" ht="17.35" customHeight="1" s="23">
      <c r="A1" s="28" t="inlineStr">
        <is>
          <t>明确先不做的事</t>
        </is>
      </c>
    </row>
    <row r="2" ht="15" customHeight="1" s="23">
      <c r="A2" s="29" t="n"/>
    </row>
    <row r="4" ht="17.15" customHeight="1" s="23">
      <c r="A4" s="30" t="inlineStr">
        <is>
          <t>事项</t>
        </is>
      </c>
      <c r="B4" s="30" t="inlineStr">
        <is>
          <t>原因</t>
        </is>
      </c>
    </row>
    <row r="5" ht="19.5" customHeight="1" s="23">
      <c r="A5" s="40" t="inlineStr">
        <is>
          <t>面向小卖家的公开 SaaS</t>
        </is>
      </c>
      <c r="B5" s="40" t="inlineStr">
        <is>
          <t>不与 Photoroom、美图等成熟产品正面竞争</t>
        </is>
      </c>
    </row>
    <row r="6" ht="35" customHeight="1" s="23">
      <c r="A6" s="40" t="inlineStr">
        <is>
          <t>积分和在线支付系统</t>
        </is>
      </c>
      <c r="B6" s="40" t="inlineStr">
        <is>
          <t>前期靠部署服务和团队版授权收费；将来云端额度先用团队预算和每人额度管理</t>
        </is>
      </c>
    </row>
    <row r="7" ht="35" customHeight="1" s="23">
      <c r="A7" s="40" t="inlineStr">
        <is>
          <t>水印预览等 SaaS 式限制</t>
        </is>
      </c>
      <c r="B7" s="40" t="inlineStr">
        <is>
          <t>本地工具没有这个需求，反而会损害开源版口碑</t>
        </is>
      </c>
    </row>
    <row r="8" ht="19.5" customHeight="1" s="23">
      <c r="A8" s="40" t="inlineStr">
        <is>
          <t>为每个客户单独搭工作流</t>
        </is>
      </c>
      <c r="B8" s="40" t="inlineStr">
        <is>
          <t>客户差异放进品类预设与品牌资料包，超出标准的作为付费定制</t>
        </is>
      </c>
    </row>
    <row r="9" ht="35" customHeight="1" s="23">
      <c r="A9" s="40" t="inlineStr">
        <is>
          <t>MVP 阶段的云端生成</t>
        </is>
      </c>
      <c r="B9" s="40" t="inlineStr">
        <is>
          <t>保留执行方抽象和三段式流程；修订 AGENTS.md 规则并确认后再开发（F18）</t>
        </is>
      </c>
    </row>
    <row r="10" ht="19.5" customHeight="1" s="23">
      <c r="A10" s="40" t="inlineStr">
        <is>
          <t>自己接单验证需求</t>
        </is>
      </c>
      <c r="B10" s="40" t="inlineStr">
        <is>
          <t>当前不考虑；改为 MVP 发布后找种子团队试用（N07）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2026-10-27T11:51:25Z</dcterms:created>
  <dcterms:modified xsi:type="dcterms:W3CDTF">2026-10-28T08:05:34Z</dcterms:modified>
  <cp:revision>0</cp:revision>
</cp:coreProperties>
</file>