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79 项功能（2026-10-31 新增 F74–F82；此前 70 项，旧说明写的 54 项已过期，本次一并更正），按阶段排列，其中 MVP（A 平台底座、B 电商出图、C 易用与运维）27 项；简易模式改版 v3（F52–F57）6 项中 5 项代码已完成、F57 暂缓；后续增强中 F25、F12、F47 代码已完成，F04 服务端已完成；2026-10-31 起新增阶段 0–6（规划落文、路线实测、参考图 v2、开箱即用、套图和详情、专业模式、发布）。“功能状态”根据开发任务自动计算，不用手填</t>
        </is>
      </c>
    </row>
    <row r="4" ht="35" customHeight="1" s="23">
      <c r="A4" s="43" t="inlineStr">
        <is>
          <t>开发任务</t>
        </is>
      </c>
      <c r="B4" s="42" t="inlineStr">
        <is>
          <t>109 个可直接交给 Claude Code 的任务（MVP 30 个；2026-10-31 新增 T81–T110；此前 79 个，旧说明写的 58 个已过期，本次一并更正），按“顺序”列执行；每个任务都有涉及文件、依赖、验收标准、测试方式和可直接粘贴的提示词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22" t="inlineStr">
        <is>
          <t>实施计划</t>
        </is>
      </c>
      <c r="B14" s="22" t="inlineStr">
        <is>
          <t>docs/EcomCraft 实施计划.zh-CN.md（英文版 docs/EcomCraft Implementation Plan.md）：新目标实施计划（2026-10-31）——参考图驱动的单入口、必须有显卡、Windows 和 Mac 优先；阶段 0–6 任务详情和 G1/G2 验收关卡</t>
        </is>
      </c>
    </row>
    <row r="15" ht="19.5" customHeight="1" s="23">
      <c r="A15" s="22" t="inlineStr">
        <is>
          <t>重构计划</t>
        </is>
      </c>
      <c r="B15" s="22" t="inlineStr">
        <is>
          <t>docs/EcomCraft 重构计划.zh-CN.md（英文版 docs/EcomCraft Refactoring Plan.md）：基础重构计划（R00–R23），与实施计划按其第 7 节穿插执行</t>
        </is>
      </c>
    </row>
    <row r="16" ht="35" customHeight="1" s="23">
      <c r="A16" s="43" t="inlineStr">
        <is>
          <t>本表位置</t>
        </is>
      </c>
      <c r="B16" s="42" t="inlineStr">
        <is>
          <t>docs/EcomCraft 开发总表.xlsx，随仓库提交到 dev 分支</t>
        </is>
      </c>
    </row>
    <row r="17" ht="19.4" customHeight="1" s="23">
      <c r="A17" s="25" t="inlineStr">
        <is>
          <t>填写约定</t>
        </is>
      </c>
    </row>
    <row r="18" ht="19.5" customHeight="1" s="23">
      <c r="A18" s="43" t="inlineStr">
        <is>
          <t>黄色单元格</t>
        </is>
      </c>
      <c r="B18" s="42" t="inlineStr">
        <is>
          <t>由你填写；“状态”列从下拉菜单选择（未开始 / 进行中 / 已完成 / 暂缓）</t>
        </is>
      </c>
    </row>
    <row r="19" ht="19.5" customHeight="1" s="23">
      <c r="A19" s="43" t="inlineStr">
        <is>
          <t>编号规则</t>
        </is>
      </c>
      <c r="B19" s="42" t="inlineStr">
        <is>
          <t>F = 功能，T = 开发任务，N = 非开发事项，S = 痛点解决方案；编号不复用，合并或取消的项在备注中说明</t>
        </is>
      </c>
    </row>
    <row r="20" ht="35" customHeight="1" s="23">
      <c r="A20" s="25" t="inlineStr">
        <is>
          <t>用 Claude Code 开发的流程</t>
        </is>
      </c>
    </row>
    <row r="21" ht="35" customHeight="1" s="23">
      <c r="A21" s="43" t="inlineStr">
        <is>
          <t>第 1 步</t>
        </is>
      </c>
      <c r="B21" s="42" t="inlineStr">
        <is>
          <t>先做 T00：在仓库根目录建 CLAUDE.md，并用 @AGENTS.md 导入现有规则</t>
        </is>
      </c>
    </row>
    <row r="22" ht="19.5" customHeight="1" s="23">
      <c r="A22" s="43" t="inlineStr">
        <is>
          <t>第 2 步</t>
        </is>
      </c>
      <c r="B22" s="42" t="inlineStr">
        <is>
          <t>按“顺序”列一次只做一个任务；每个任务开一个新会话，避免上下文混在一起</t>
        </is>
      </c>
    </row>
    <row r="23" ht="19.5" customHeight="1" s="23">
      <c r="A23" s="43" t="inlineStr">
        <is>
          <t>第 3 步</t>
        </is>
      </c>
      <c r="B23" s="42" t="inlineStr">
        <is>
          <t>复制该任务的“Claude Code 提示词”粘贴进去；大多数提示词会让 Claude 先进入计划模式出方案，你看过确认后再让它写代码</t>
        </is>
      </c>
    </row>
    <row r="24" ht="19.5" customHeight="1" s="23">
      <c r="A24" s="43" t="inlineStr">
        <is>
          <t>第 4 步</t>
        </is>
      </c>
      <c r="B24" s="42" t="inlineStr">
        <is>
          <t>Claude 完成后，按“测试方式”列自己验证；涉及 GPU 生成的效果必须实际跑一遍，涉及多机的要在两台电脑上验证</t>
        </is>
      </c>
    </row>
    <row r="25" ht="19.4" customHeight="1" s="23">
      <c r="A25" s="43" t="inlineStr">
        <is>
          <t>第 5 步</t>
        </is>
      </c>
      <c r="B25" s="42" t="inlineStr">
        <is>
          <t>验证通过后一个任务做一次提交（dev 分支），再把任务状态改为“已完成”</t>
        </is>
      </c>
    </row>
    <row r="26" ht="35" customHeight="1" s="23">
      <c r="A26" s="43" t="inlineStr">
        <is>
          <t>第 6 步</t>
        </is>
      </c>
      <c r="B26" s="42" t="inlineStr">
        <is>
          <t>“依赖”列中的任务未完成前不要开始；N 开头的依赖是非开发事项</t>
        </is>
      </c>
    </row>
    <row r="27" ht="19.5" customHeight="1" s="23">
      <c r="A27" s="43" t="inlineStr">
        <is>
          <t>第 7 步</t>
        </is>
      </c>
      <c r="B27" s="42" t="inlineStr">
        <is>
          <t>每个任务涉及的文档都要中英文同步更新</t>
        </is>
      </c>
    </row>
    <row r="28" ht="19.5" customHeight="1" s="23">
      <c r="A28" s="25" t="inlineStr">
        <is>
          <t>注意事项</t>
        </is>
      </c>
    </row>
    <row r="29" ht="19.5" customHeight="1" s="23">
      <c r="A29" s="43" t="inlineStr">
        <is>
          <t>重新构建</t>
        </is>
      </c>
      <c r="B29" s="42" t="inlineStr">
        <is>
          <t>修改 src/Extensions/EcomCraft/ 的 C# 代码后，需按 AGENTS.md 重新构建扩展，否则会加载旧程序集</t>
        </is>
      </c>
    </row>
    <row r="30">
      <c r="A30" s="43" t="inlineStr">
        <is>
          <t>用户数据</t>
        </is>
      </c>
      <c r="B30" s="42" t="inlineStr">
        <is>
          <t>不要让 Claude 修改 Data/、Models/、Output/ 中的内容</t>
        </is>
      </c>
    </row>
    <row r="31">
      <c r="A31" s="43" t="inlineStr">
        <is>
          <t>规则变更</t>
        </is>
      </c>
      <c r="B31" s="42" t="inlineStr">
        <is>
          <t>T08、T09、T29 会修改需求文档或 AGENTS.md 中的规则，务必自己审阅后再同意</t>
        </is>
      </c>
    </row>
    <row r="32">
      <c r="A32" s="43" t="inlineStr">
        <is>
          <t>范围变更</t>
        </is>
      </c>
      <c r="B32"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8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T44、T94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高</t>
        </is>
      </c>
      <c r="G44" s="42" t="inlineStr">
        <is>
          <t>海外必做</t>
        </is>
      </c>
      <c r="H44" s="40" t="inlineStr">
        <is>
          <t>海外市场分析</t>
        </is>
      </c>
      <c r="I44" s="42" t="inlineStr">
        <is>
          <t>T21、T95</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inlineStr">
        <is>
          <t>2026-10-31 F23 提前：T95 在阶段 3「开箱即用」（决策 P2、D6）</t>
        </is>
      </c>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T27、T109</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改为按账号数授权；2026-10-31 修订：开源核心 + 团队版拆分见 T109（A18）</t>
        </is>
      </c>
    </row>
    <row r="51" ht="50.5" customHeight="1" s="23">
      <c r="A51" s="47" t="inlineStr">
        <is>
          <t>F18</t>
        </is>
      </c>
      <c r="B51" s="40" t="inlineStr">
        <is>
          <t>预留：定制服务</t>
        </is>
      </c>
      <c r="C51" s="40" t="inlineStr">
        <is>
          <t>云端生成</t>
        </is>
      </c>
      <c r="D51" s="40" t="inlineStr">
        <is>
          <t>不做（2026-10-31 决策 A6 修订）：不做云端生成，原“保留执行方抽象和三段式流程、修订规则后开发”的规划作废；本行保留作历史记录</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inlineStr">
        <is>
          <t>2026-10-31 暂缓（决策 A6、A18 修订）：不做云端生成；T29 同步暂缓</t>
        </is>
      </c>
    </row>
    <row r="52" ht="35" customHeight="1" s="23">
      <c r="A52" s="47" t="inlineStr">
        <is>
          <t>F17</t>
        </is>
      </c>
      <c r="B52" s="40" t="inlineStr">
        <is>
          <t>预留：定制服务</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T60、T97</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T61、T84</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N10；2026-10-31：路线 v2（F74 / T83–T88）取代 P2，T62 被 T84 取代</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T64、T89、T90</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界面改版需求.zh-CN.md；2026-10-31 修订（A14）：改为单入口，见 T89、T90</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row r="74">
      <c r="A74" s="22" t="inlineStr">
        <is>
          <t>F73</t>
        </is>
      </c>
      <c r="B74" s="22" t="inlineStr">
        <is>
          <t>后续：功能增强</t>
        </is>
      </c>
      <c r="C74" s="22" t="inlineStr">
        <is>
          <t>出图前选择出图尺寸</t>
        </is>
      </c>
      <c r="D74" s="22" t="inlineStr">
        <is>
          <t>第 2 步选择出图尺寸：默认按平台图位自动（单张按所选图片类型，整套每种图片各用自己的图位尺寸），也可选常用尺寸或自定义宽高；模型按所选比例在约 100 万像素出图，出图后精确缩放到所选尺寸；出图后不再选择尺寸，打包下载保持出图尺寸，平台只决定格式和大小上限</t>
        </is>
      </c>
      <c r="E74" s="22" t="inlineStr">
        <is>
          <t>Studio/Generation/OutputSizeRules.cs、PostProcess/OutputResize.cs、StudioApi.cs、Templates/TemplateApi.cs、Generation/BatchService.cs、Export/ExportService.cs、simple.js、index.html、lang/en.js</t>
        </is>
      </c>
      <c r="F74" s="22" t="inlineStr">
        <is>
          <t>高</t>
        </is>
      </c>
      <c r="G74" s="22" t="inlineStr">
        <is>
          <t>运营友好</t>
        </is>
      </c>
      <c r="H74" s="22" t="inlineStr">
        <is>
          <t>2026-10-30 用户确认（按平台自动 + 可改；按比例出图再精确缩放；去掉出图后选尺寸）</t>
        </is>
      </c>
      <c r="I74" s="22" t="inlineStr">
        <is>
          <t>T80</t>
        </is>
      </c>
      <c r="J74" s="22">
        <f>COUNTIF(开发任务!$D$5:$D$200,A74)</f>
        <v/>
      </c>
      <c r="K74" s="22">
        <f>IF(J74=0,"—",IF(COUNTIFS(开发任务!$D$5:$D$200,A74,开发任务!$L$5:$L$200,"暂缓")=J74,"暂缓",IF(COUNTIFS(开发任务!$D$5:$D$200,A74,开发任务!$L$5:$L$200,"未开始")=J74,"未开始",IF(COUNTIFS(开发任务!$D$5:$D$200,A74,开发任务!$L$5:$L$200,"已完成")=J74,"已完成",IF(COUNTIFS(开发任务!$D$5:$D$200,A74,开发任务!$L$5:$L$200,"已完成")+COUNTIFS(开发任务!$D$5:$D$200,A74,开发任务!$L$5:$L$200,"暂缓")=J74,"已完成（暂缓）","进行中")))))</f>
        <v/>
      </c>
      <c r="M74" s="22" t="inlineStr">
        <is>
          <t>需求见 docs/EcomCraft 简易模式改版需求.zh-CN.md“出图尺寸”</t>
        </is>
      </c>
    </row>
    <row r="75">
      <c r="A75" s="22" t="inlineStr">
        <is>
          <t>F74</t>
        </is>
      </c>
      <c r="B75" s="22" t="inlineStr">
        <is>
          <t>阶段 2：参考图 v2</t>
        </is>
      </c>
      <c r="C75" s="22" t="inlineStr">
        <is>
          <t>参考图融合路线（参考图 v2）</t>
        </is>
      </c>
      <c r="D75" s="22" t="inlineStr">
        <is>
          <t>参考图 + 商品图直接输入编辑模型融合，生成后定位商品、贴回原商品细节并校验走样；参考图分析自动给出主体位置和图位；比例适配与异常参考图处理；取代「看图写提示词 + 局部重绘」旧路线（路线 E，待 G1 实测确定）</t>
        </is>
      </c>
      <c r="E75" s="22" t="inlineStr">
        <is>
          <t>新增蓝图 reference-edit.json；StandardWorkflows、BatchService、PostProcess/、PromptRules</t>
        </is>
      </c>
      <c r="F75" s="22" t="inlineStr">
        <is>
          <t>高</t>
        </is>
      </c>
      <c r="G75" s="22" t="inlineStr">
        <is>
          <t>运营友好</t>
        </is>
      </c>
      <c r="H75" s="22" t="inlineStr">
        <is>
          <t>2026-10-31 实施计划（决策 A11 修订、A14、D2）</t>
        </is>
      </c>
      <c r="I75" s="22" t="inlineStr">
        <is>
          <t>T83、T84、T85、T87、T88</t>
        </is>
      </c>
      <c r="J75" s="22">
        <f>COUNTIF(开发任务!$D$5:$D$200,A75)</f>
        <v/>
      </c>
      <c r="K75" s="22">
        <f>IF(J75=0,"—",IF(COUNTIFS(开发任务!$D$5:$D$200,A75,开发任务!$L$5:$L$200,"暂缓")=J75,"暂缓",IF(COUNTIFS(开发任务!$D$5:$D$200,A75,开发任务!$L$5:$L$200,"未开始")=J75,"未开始",IF(COUNTIFS(开发任务!$D$5:$D$200,A75,开发任务!$L$5:$L$200,"已完成")=J75,"已完成",IF(COUNTIFS(开发任务!$D$5:$D$200,A75,开发任务!$L$5:$L$200,"已完成")+COUNTIFS(开发任务!$D$5:$D$200,A75,开发任务!$L$5:$L$200,"暂缓")=J75,"已完成（暂缓）","进行中")))))</f>
        <v/>
      </c>
      <c r="M75" s="22" t="inlineStr">
        <is>
          <t>需求见 docs/EcomCraft 参考图需求.zh-CN.md 第 3 节；T62 被 T84 取代</t>
        </is>
      </c>
    </row>
    <row r="76">
      <c r="A76" s="22" t="inlineStr">
        <is>
          <t>F75</t>
        </is>
      </c>
      <c r="B76" s="22" t="inlineStr">
        <is>
          <t>阶段 2：参考图 v2</t>
        </is>
      </c>
      <c r="C76" s="22" t="inlineStr">
        <is>
          <t>商品定位、贴回和走样校验</t>
        </is>
      </c>
      <c r="D76" s="22" t="inlineStr">
        <is>
          <t>生成结果中定位商品区域：轮廓对得上时分频贴回原商品，对不上（角度变了）保留模型结果不硬贴；颜色结构差异过大重试一次（换种子），仍超限标记「商品可能走样」</t>
        </is>
      </c>
      <c r="E76" s="22" t="inlineStr">
        <is>
          <t>新增 Studio/PostProcess/ProductAlign.cs、ProductAlignRules.cs；ProductComposite.PasteBlended</t>
        </is>
      </c>
      <c r="F76" s="22" t="inlineStr">
        <is>
          <t>高</t>
        </is>
      </c>
      <c r="G76" s="22" t="inlineStr">
        <is>
          <t>运营友好</t>
        </is>
      </c>
      <c r="H76" s="22" t="inlineStr">
        <is>
          <t>2026-10-31 实施计划</t>
        </is>
      </c>
      <c r="I76" s="22" t="inlineStr">
        <is>
          <t>T86</t>
        </is>
      </c>
      <c r="J76" s="22">
        <f>COUNTIF(开发任务!$D$5:$D$200,A76)</f>
        <v/>
      </c>
      <c r="K76" s="22">
        <f>IF(J76=0,"—",IF(COUNTIFS(开发任务!$D$5:$D$200,A76,开发任务!$L$5:$L$200,"暂缓")=J76,"暂缓",IF(COUNTIFS(开发任务!$D$5:$D$200,A76,开发任务!$L$5:$L$200,"未开始")=J76,"未开始",IF(COUNTIFS(开发任务!$D$5:$D$200,A76,开发任务!$L$5:$L$200,"已完成")=J76,"已完成",IF(COUNTIFS(开发任务!$D$5:$D$200,A76,开发任务!$L$5:$L$200,"已完成")+COUNTIFS(开发任务!$D$5:$D$200,A76,开发任务!$L$5:$L$200,"暂缓")=J76,"已完成（暂缓）","进行中")))))</f>
        <v/>
      </c>
      <c r="M76" s="22" t="inlineStr">
        <is>
          <t>阈值放配置，默认值用实测数据定</t>
        </is>
      </c>
    </row>
    <row r="77">
      <c r="A77" s="22" t="inlineStr">
        <is>
          <t>F76</t>
        </is>
      </c>
      <c r="B77" s="22" t="inlineStr">
        <is>
          <t>阶段 3：开箱即用</t>
        </is>
      </c>
      <c r="C77" s="22" t="inlineStr">
        <is>
          <t>硬件检测与模型一键配置</t>
        </is>
      </c>
      <c r="D77" s="22" t="inlineStr">
        <is>
          <t>显卡和内存分档（推荐/最低/条件/不支持，接口仅管理员）；按配方扫描已有模型（含用户手放的，未识别的不自动设默认）、一键下载并自动配置（国内优先镜像、断点续传、校验、所需节点安装）</t>
        </is>
      </c>
      <c r="E77" s="22" t="inlineStr">
        <is>
          <t>新增 Studio/Setup/HardwareProbe.cs、HardwareRules.cs；Templates/model-recipes.json</t>
        </is>
      </c>
      <c r="F77" s="22" t="inlineStr">
        <is>
          <t>高</t>
        </is>
      </c>
      <c r="G77" s="22" t="inlineStr">
        <is>
          <t>运营友好</t>
        </is>
      </c>
      <c r="H77" s="22" t="inlineStr">
        <is>
          <t>2026-10-31 实施计划（用户要求程序自动读取并配置已下载模型）</t>
        </is>
      </c>
      <c r="I77" s="22" t="inlineStr">
        <is>
          <t>T91、T92、T93</t>
        </is>
      </c>
      <c r="J77" s="22">
        <f>COUNTIF(开发任务!$D$5:$D$200,A77)</f>
        <v/>
      </c>
      <c r="K77" s="22">
        <f>IF(J77=0,"—",IF(COUNTIFS(开发任务!$D$5:$D$200,A77,开发任务!$L$5:$L$200,"暂缓")=J77,"暂缓",IF(COUNTIFS(开发任务!$D$5:$D$200,A77,开发任务!$L$5:$L$200,"未开始")=J77,"未开始",IF(COUNTIFS(开发任务!$D$5:$D$200,A77,开发任务!$L$5:$L$200,"已完成")=J77,"已完成",IF(COUNTIFS(开发任务!$D$5:$D$200,A77,开发任务!$L$5:$L$200,"已完成")+COUNTIFS(开发任务!$D$5:$D$200,A77,开发任务!$L$5:$L$200,"暂缓")=J77,"已完成（暂缓）","进行中")))))</f>
        <v/>
      </c>
      <c r="M77" s="22" t="inlineStr">
        <is>
          <t>数值和 ROCm 列表放配置；下载地址只来自服务端配方</t>
        </is>
      </c>
    </row>
    <row r="78">
      <c r="A78" s="22" t="inlineStr">
        <is>
          <t>F77</t>
        </is>
      </c>
      <c r="B78" s="22" t="inlineStr">
        <is>
          <t>阶段 3：开箱即用</t>
        </is>
      </c>
      <c r="C78" s="22" t="inlineStr">
        <is>
          <t>Windows 和 Mac 安装包</t>
        </is>
      </c>
      <c r="D78" s="22" t="inlineStr">
        <is>
          <t>用户不需要自己装 .NET、Python、Git：Windows 安装包 + 桌面快捷方式，Mac .app/.dmg；升级保留 Data/、Models/、Output/；签名待用户决定</t>
        </is>
      </c>
      <c r="E78" s="22" t="inlineStr">
        <is>
          <t>Desktop/、启动脚本、安装打包</t>
        </is>
      </c>
      <c r="F78" s="22" t="inlineStr">
        <is>
          <t>中</t>
        </is>
      </c>
      <c r="G78" s="22" t="inlineStr"/>
      <c r="H78" s="22" t="inlineStr">
        <is>
          <t>2026-10-31 实施计划</t>
        </is>
      </c>
      <c r="I78" s="22" t="inlineStr">
        <is>
          <t>T96</t>
        </is>
      </c>
      <c r="J78" s="22">
        <f>COUNTIF(开发任务!$D$5:$D$200,A78)</f>
        <v/>
      </c>
      <c r="K78" s="22">
        <f>IF(J78=0,"—",IF(COUNTIFS(开发任务!$D$5:$D$200,A78,开发任务!$L$5:$L$200,"暂缓")=J78,"暂缓",IF(COUNTIFS(开发任务!$D$5:$D$200,A78,开发任务!$L$5:$L$200,"未开始")=J78,"未开始",IF(COUNTIFS(开发任务!$D$5:$D$200,A78,开发任务!$L$5:$L$200,"已完成")=J78,"已完成",IF(COUNTIFS(开发任务!$D$5:$D$200,A78,开发任务!$L$5:$L$200,"已完成")+COUNTIFS(开发任务!$D$5:$D$200,A78,开发任务!$L$5:$L$200,"暂缓")=J78,"已完成（暂缓）","进行中")))))</f>
        <v/>
      </c>
      <c r="M78" s="22" t="inlineStr">
        <is>
          <t>未签名时文档写明 SmartScreen / Gatekeeper 放行步骤</t>
        </is>
      </c>
    </row>
    <row r="79">
      <c r="A79" s="22" t="inlineStr">
        <is>
          <t>F78</t>
        </is>
      </c>
      <c r="B79" s="22" t="inlineStr">
        <is>
          <t>阶段 4：套图和详情</t>
        </is>
      </c>
      <c r="C79" s="22" t="inlineStr">
        <is>
          <t>按图位出整套</t>
        </is>
      </c>
      <c r="D79" s="22" t="inlineStr">
        <is>
          <t>多张参考按图位（首图、卖点、场景、细节、白底、详情屏）分配生成整套图，用户可调整；重复图位允许、缺少的图位显示「未覆盖」；每张参考默认出 1 张、可单独再出；批次按图位分组；一套图风格一致（统一色调）选项</t>
        </is>
      </c>
      <c r="E79" s="22" t="inlineStr">
        <is>
          <t>SetRules（MaxReferences 8→15，总上限 20 不变）、BatchService、前端批次视图</t>
        </is>
      </c>
      <c r="F79" s="22" t="inlineStr">
        <is>
          <t>高</t>
        </is>
      </c>
      <c r="G79" s="22" t="inlineStr">
        <is>
          <t>运营友好</t>
        </is>
      </c>
      <c r="H79" s="22" t="inlineStr">
        <is>
          <t>2026-10-31 实施计划</t>
        </is>
      </c>
      <c r="I79" s="22" t="inlineStr">
        <is>
          <t>T98、T101</t>
        </is>
      </c>
      <c r="J79" s="22">
        <f>COUNTIF(开发任务!$D$5:$D$200,A79)</f>
        <v/>
      </c>
      <c r="K79" s="22">
        <f>IF(J79=0,"—",IF(COUNTIFS(开发任务!$D$5:$D$200,A79,开发任务!$L$5:$L$200,"暂缓")=J79,"暂缓",IF(COUNTIFS(开发任务!$D$5:$D$200,A79,开发任务!$L$5:$L$200,"未开始")=J79,"未开始",IF(COUNTIFS(开发任务!$D$5:$D$200,A79,开发任务!$L$5:$L$200,"已完成")=J79,"已完成",IF(COUNTIFS(开发任务!$D$5:$D$200,A79,开发任务!$L$5:$L$200,"已完成")+COUNTIFS(开发任务!$D$5:$D$200,A79,开发任务!$L$5:$L$200,"暂缓")=J79,"已完成（暂缓）","进行中")))))</f>
        <v/>
      </c>
      <c r="M79" s="22" t="inlineStr">
        <is>
          <t>只有一张参考时只出单图并提示，不自动编造其他图位</t>
        </is>
      </c>
    </row>
    <row r="80">
      <c r="A80" s="22" t="inlineStr">
        <is>
          <t>F79</t>
        </is>
      </c>
      <c r="B80" s="22" t="inlineStr">
        <is>
          <t>阶段 4：套图和详情</t>
        </is>
      </c>
      <c r="C80" s="22" t="inlineStr">
        <is>
          <t>卖点信息和用语检查</t>
        </is>
      </c>
      <c r="D80" s="22" t="inlineStr">
        <is>
          <t>出套图时填写商品名、3–5 条卖点、参数、尺寸，按商品保存到商品库不重复填；模型只建议卖点、用户确认，不得编造参数、认证、功效；广告法极限词提示（词表可配置，提示不强制）；海外平台按语言分别填写</t>
        </is>
      </c>
      <c r="E80" s="22" t="inlineStr">
        <is>
          <t>商品库 ProductIndex；新增 Prompting/ClaimRules.cs</t>
        </is>
      </c>
      <c r="F80" s="22" t="inlineStr">
        <is>
          <t>中</t>
        </is>
      </c>
      <c r="G80" s="22" t="inlineStr"/>
      <c r="H80" s="22" t="inlineStr">
        <is>
          <t>2026-10-31 实施计划</t>
        </is>
      </c>
      <c r="I80" s="22" t="inlineStr">
        <is>
          <t>T99</t>
        </is>
      </c>
      <c r="J80" s="22">
        <f>COUNTIF(开发任务!$D$5:$D$200,A80)</f>
        <v/>
      </c>
      <c r="K80" s="22">
        <f>IF(J80=0,"—",IF(COUNTIFS(开发任务!$D$5:$D$200,A80,开发任务!$L$5:$L$200,"暂缓")=J80,"暂缓",IF(COUNTIFS(开发任务!$D$5:$D$200,A80,开发任务!$L$5:$L$200,"未开始")=J80,"未开始",IF(COUNTIFS(开发任务!$D$5:$D$200,A80,开发任务!$L$5:$L$200,"已完成")=J80,"已完成",IF(COUNTIFS(开发任务!$D$5:$D$200,A80,开发任务!$L$5:$L$200,"已完成")+COUNTIFS(开发任务!$D$5:$D$200,A80,开发任务!$L$5:$L$200,"暂缓")=J80,"已完成（暂缓）","进行中")))))</f>
        <v/>
      </c>
      <c r="M80" s="22" t="inlineStr">
        <is>
          <t>词表须对照官方规定核对</t>
        </is>
      </c>
    </row>
    <row r="81">
      <c r="A81" s="22" t="inlineStr">
        <is>
          <t>F80</t>
        </is>
      </c>
      <c r="B81" s="22" t="inlineStr">
        <is>
          <t>阶段 4：套图和详情</t>
        </is>
      </c>
      <c r="C81" s="22" t="inlineStr">
        <is>
          <t>卖点图和详情页版式</t>
        </is>
      </c>
      <c r="D81" s="22" t="inlineStr">
        <is>
          <t>多种版式，文字始终由服务端绘制（思源黑体，不由 AI 生成）；按参考分析和商品位置选版式避开商品；详情页按图位排版，导出分屏切片和整张长图；按组（主图、详情）打包</t>
        </is>
      </c>
      <c r="E81" s="22" t="inlineStr">
        <is>
          <t>Export/SellingImageService.cs、SellingImageRules.cs、ExportService</t>
        </is>
      </c>
      <c r="F81" s="22" t="inlineStr">
        <is>
          <t>高</t>
        </is>
      </c>
      <c r="G81" s="22" t="inlineStr"/>
      <c r="H81" s="22" t="inlineStr">
        <is>
          <t>2026-10-31 实施计划</t>
        </is>
      </c>
      <c r="I81" s="22" t="inlineStr">
        <is>
          <t>T100</t>
        </is>
      </c>
      <c r="J81" s="22">
        <f>COUNTIF(开发任务!$D$5:$D$200,A81)</f>
        <v/>
      </c>
      <c r="K81" s="22">
        <f>IF(J81=0,"—",IF(COUNTIFS(开发任务!$D$5:$D$200,A81,开发任务!$L$5:$L$200,"暂缓")=J81,"暂缓",IF(COUNTIFS(开发任务!$D$5:$D$200,A81,开发任务!$L$5:$L$200,"未开始")=J81,"未开始",IF(COUNTIFS(开发任务!$D$5:$D$200,A81,开发任务!$L$5:$L$200,"已完成")=J81,"已完成",IF(COUNTIFS(开发任务!$D$5:$D$200,A81,开发任务!$L$5:$L$200,"已完成")+COUNTIFS(开发任务!$D$5:$D$200,A81,开发任务!$L$5:$L$200,"暂缓")=J81,"已完成（暂缓）","进行中")))))</f>
        <v/>
      </c>
      <c r="M81" s="22" t="inlineStr">
        <is>
          <t>海外平台主图禁文字规则走 ComplianceRules</t>
        </is>
      </c>
    </row>
    <row r="82">
      <c r="A82" s="22" t="inlineStr">
        <is>
          <t>F81</t>
        </is>
      </c>
      <c r="B82" s="22" t="inlineStr">
        <is>
          <t>阶段 4：套图和详情</t>
        </is>
      </c>
      <c r="C82" s="22" t="inlineStr">
        <is>
          <t>内置参考图库</t>
        </is>
      </c>
      <c r="D82" s="22" t="inlineStr">
        <is>
          <t>按品类和图位提供样图，解决手里没有参考图的情况并降低版权风险；图片来源必须有权使用（自己生成并审核、记录来源），竞品图和未授权图片不进库；基础包随版本提供，行业包归团队版</t>
        </is>
      </c>
      <c r="E82" s="22" t="inlineStr">
        <is>
          <t>新增参考图库数据与界面</t>
        </is>
      </c>
      <c r="F82" s="22" t="inlineStr">
        <is>
          <t>中</t>
        </is>
      </c>
      <c r="G82" s="22" t="inlineStr"/>
      <c r="H82" s="22" t="inlineStr">
        <is>
          <t>2026-10-31 实施计划</t>
        </is>
      </c>
      <c r="I82" s="22" t="inlineStr">
        <is>
          <t>T102</t>
        </is>
      </c>
      <c r="J82" s="22">
        <f>COUNTIF(开发任务!$D$5:$D$200,A82)</f>
        <v/>
      </c>
      <c r="K82" s="22">
        <f>IF(J82=0,"—",IF(COUNTIFS(开发任务!$D$5:$D$200,A82,开发任务!$L$5:$L$200,"暂缓")=J82,"暂缓",IF(COUNTIFS(开发任务!$D$5:$D$200,A82,开发任务!$L$5:$L$200,"未开始")=J82,"未开始",IF(COUNTIFS(开发任务!$D$5:$D$200,A82,开发任务!$L$5:$L$200,"已完成")=J82,"已完成",IF(COUNTIFS(开发任务!$D$5:$D$200,A82,开发任务!$L$5:$L$200,"已完成")+COUNTIFS(开发任务!$D$5:$D$200,A82,开发任务!$L$5:$L$200,"暂缓")=J82,"已完成（暂缓）","进行中")))))</f>
        <v/>
      </c>
      <c r="M82" s="22" t="inlineStr">
        <is>
          <t>库内图片可长期保存，与「用户参考图不落盘」是两回事，文档分开说明</t>
        </is>
      </c>
    </row>
    <row r="83">
      <c r="A83" s="22" t="inlineStr">
        <is>
          <t>F82</t>
        </is>
      </c>
      <c r="B83" s="22" t="inlineStr">
        <is>
          <t>阶段 5：专业模式</t>
        </is>
      </c>
      <c r="C83" s="22" t="inlineStr">
        <is>
          <t>专业模式精修台</t>
        </is>
      </c>
      <c r="D83" s="22" t="inlineStr">
        <is>
          <t>专业模式从参数面板改为精修台（模型和采样器收进「高级」）：版本历史、局部修改与商品锁定（默认锁定、贴回原商品）、消除物体、换背景、指令修图、改比例和放大接到平台尺寸、P1 文字层 / 换色 / 光影 / 批量应用</t>
        </is>
      </c>
      <c r="E83" s="22" t="inlineStr">
        <is>
          <t>Studio/js 专业模式视图（重构 R19 后为 create-form.js、create-generate.js）</t>
        </is>
      </c>
      <c r="F83" s="22" t="inlineStr">
        <is>
          <t>中</t>
        </is>
      </c>
      <c r="G83" s="22" t="inlineStr">
        <is>
          <t>设计友好</t>
        </is>
      </c>
      <c r="H83" s="22" t="inlineStr">
        <is>
          <t>2026-10-31 实施计划</t>
        </is>
      </c>
      <c r="I83" s="22" t="inlineStr">
        <is>
          <t>T103、T104、T105、T106、T107、T108</t>
        </is>
      </c>
      <c r="J83" s="22">
        <f>COUNTIF(开发任务!$D$5:$D$200,A83)</f>
        <v/>
      </c>
      <c r="K83" s="22">
        <f>IF(J83=0,"—",IF(COUNTIFS(开发任务!$D$5:$D$200,A83,开发任务!$L$5:$L$200,"暂缓")=J83,"暂缓",IF(COUNTIFS(开发任务!$D$5:$D$200,A83,开发任务!$L$5:$L$200,"未开始")=J83,"未开始",IF(COUNTIFS(开发任务!$D$5:$D$200,A83,开发任务!$L$5:$L$200,"已完成")=J83,"已完成",IF(COUNTIFS(开发任务!$D$5:$D$200,A83,开发任务!$L$5:$L$200,"已完成")+COUNTIFS(开发任务!$D$5:$D$200,A83,开发任务!$L$5:$L$200,"暂缓")=J83,"已完成（暂缓）","进行中")))))</f>
        <v/>
      </c>
      <c r="M83" s="22" t="inlineStr">
        <is>
          <t>T108 开发前先分拆成独立任务</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14"/>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预留：定制服务</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暂缓</t>
        </is>
      </c>
      <c r="M55" s="38" t="n"/>
      <c r="N55" s="44" t="inlineStr">
        <is>
          <t>会修改 AGENTS.md 规则，务必审阅；2026-10-31 暂缓：决策 A6、A18 修订，不做云端生成</t>
        </is>
      </c>
    </row>
    <row r="56" ht="236.5" customHeight="1" s="23">
      <c r="A56" s="47" t="n">
        <v>52</v>
      </c>
      <c r="B56" s="47" t="inlineStr">
        <is>
          <t>T28</t>
        </is>
      </c>
      <c r="C56" s="40" t="inlineStr">
        <is>
          <t>预留：定制服务</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暂缓</t>
        </is>
      </c>
      <c r="M65" s="22" t="n"/>
      <c r="N65" s="22" t="inlineStr">
        <is>
          <t>依赖 N10（图生图方案未定）；工作流需 N02 或 F57 扩展；2026-10-31：被 T84（参考图融合路线）取代，不再单独开发</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暂缓</t>
        </is>
      </c>
      <c r="M80" s="22" t="n"/>
      <c r="N80" s="22" t="inlineStr">
        <is>
          <t>2026-10-31 暂缓：路线 E 对看图的依赖变小（见实施计划 8.3）</t>
        </is>
      </c>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22" t="n">
        <v>79</v>
      </c>
      <c r="B83" s="22" t="inlineStr">
        <is>
          <t>T80</t>
        </is>
      </c>
      <c r="C83" s="22" t="inlineStr">
        <is>
          <t>后续：功能增强</t>
        </is>
      </c>
      <c r="D83" s="22" t="inlineStr">
        <is>
          <t>F73</t>
        </is>
      </c>
      <c r="E83" s="22" t="inlineStr">
        <is>
          <t>出图前选择出图尺寸</t>
        </is>
      </c>
      <c r="F83" s="22" t="inlineStr">
        <is>
          <t>Studio/Generation/OutputSizeRules.cs、PostProcess/OutputResize.cs、StudioApi.cs、Templates/TemplateApi.cs、Generation/BatchService.cs、Export/ExportService.cs、simple.js、index.html、lang/en.js</t>
        </is>
      </c>
      <c r="G83" s="22" t="inlineStr">
        <is>
          <t>T79</t>
        </is>
      </c>
      <c r="H83" s="22" t="inlineStr">
        <is>
          <t>M</t>
        </is>
      </c>
      <c r="I83" s="22" t="inlineStr">
        <is>
          <t>第 2 步有“出图尺寸”：按平台自动（显示图位尺寸）、常用尺寸和自定义宽高；单张、整套、分镜和参考模式都按所选尺寸出图；结果图正好是所选尺寸；打包下载不再选平台和规格，保持出图尺寸</t>
        </is>
      </c>
      <c r="J83" s="22" t="inlineStr">
        <is>
          <t>dotnet test（OutputSizeRulesTests）；node --test；淘宝场景图按 800×800、自定义 750×1000 各出一张，核对文件尺寸和画面没有变形</t>
        </is>
      </c>
      <c r="K8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3" s="22" t="inlineStr">
        <is>
          <t>待验收</t>
        </is>
      </c>
      <c r="M83" s="22" t="inlineStr">
        <is>
          <t>2026-10-30</t>
        </is>
      </c>
      <c r="N83" s="22" t="inlineStr">
        <is>
          <t>2026-10-30 用户确认方案</t>
        </is>
      </c>
    </row>
    <row r="84" s="23">
      <c r="A84" s="22" t="inlineStr">
        <is>
          <t>80</t>
        </is>
      </c>
      <c r="B84" s="22" t="inlineStr">
        <is>
          <t>T81</t>
        </is>
      </c>
      <c r="C84" s="22" t="inlineStr">
        <is>
          <t>阶段 0：规划落文</t>
        </is>
      </c>
      <c r="D84" s="22" t="inlineStr"/>
      <c r="E84" s="22" t="inlineStr">
        <is>
          <t>规划落文：更新文档、总表、AGENTS.md，清理蓝图残留</t>
        </is>
      </c>
      <c r="F84" s="22" t="inlineStr">
        <is>
          <t>docs/EcomCraft Architecture（中英）、参考图需求（中英）、界面改版需求（中英）、局域网需求（中英）、README、docs 索引、AGENTS.md、CLAUDE.md；开发总表.xlsx；Templates/blueprints/text-to-image.json；新增两份计划文档（中英）</t>
        </is>
      </c>
      <c r="G84" s="22" t="inlineStr">
        <is>
          <t>0.2（工作区干净）</t>
        </is>
      </c>
      <c r="H84" s="22" t="inlineStr">
        <is>
          <t>M</t>
        </is>
      </c>
      <c r="I84" s="22" t="inlineStr">
        <is>
          <t>新会话只看仓库能答对产品目标、硬件门槛、目标平台和任务顺序；中英文决策编号一致；搜索「一键复刻」「云端生成」无旧规定残留；总表重新打开无错、公式和下拉都在；git diff --check 通过</t>
        </is>
      </c>
      <c r="J84" s="22" t="inlineStr">
        <is>
          <t>按验收标准逐项检查；用 openpyxl 重新打开总表确认公式和下拉</t>
        </is>
      </c>
      <c r="K84" s="22" t="inlineStr">
        <is>
          <t>请先阅读 AGENTS.md 和 docs/EcomCraft Architecture.zh-CN.md 第 1、2 节，再读 docs/EcomCraft 实施计划.zh-CN.md （英文版 docs/EcomCraft Implementation Plan.md）中 T81 的章节，严格按其步骤执行；只做任务写明的内容，发现范围外问题只记录不顺手改；完成后按实施计划第 9 节格式汇报，未运行的检查如实写「未运行」。</t>
        </is>
      </c>
      <c r="L84" s="22" t="inlineStr">
        <is>
          <t>进行中</t>
        </is>
      </c>
      <c r="N84" s="22" t="inlineStr">
        <is>
          <t>2026-10-31 完成文档与总表更新（NativeWorkflowConverter 会读取 widgets_values_named，蓝图残留按规则改为中性商品提示词和当前模型名，未删除字段），待用户验收</t>
        </is>
      </c>
    </row>
    <row r="85" s="23">
      <c r="A85" s="22" t="inlineStr">
        <is>
          <t>81</t>
        </is>
      </c>
      <c r="B85" s="22" t="inlineStr">
        <is>
          <t>T82</t>
        </is>
      </c>
      <c r="C85" s="22" t="inlineStr">
        <is>
          <t>阶段 1：路线实测</t>
        </is>
      </c>
      <c r="D85" s="22" t="inlineStr"/>
      <c r="E85" s="22" t="inlineStr">
        <is>
          <t>编写参考图路线实测手册、提示词和记录表</t>
        </is>
      </c>
      <c r="F85" s="22" t="inlineStr">
        <is>
          <t>新增 docs/EcomCraft 参考图路线实测.zh-CN.md 和英文版（含记录表模板 CSV 或 xlsx）</t>
        </is>
      </c>
      <c r="G85" s="22" t="inlineStr">
        <is>
          <t>T81</t>
        </is>
      </c>
      <c r="H85" s="22" t="inlineStr">
        <is>
          <t>S</t>
        </is>
      </c>
      <c r="I85" s="22" t="inlineStr">
        <is>
          <t>手册含样本要求（约 15 个主攻品类透明底商品 × 2 参考）、R0–R5 方案、提示词起点、指标（构图相似、商品形状颜色、Logo 可辨、融合自然、可直接上架、耗时显存、平台）和记录表；不写平台代码</t>
        </is>
      </c>
      <c r="J85" s="22" t="inlineStr">
        <is>
          <t>人工审阅手册；确认没有交付未运行过的节点图</t>
        </is>
      </c>
      <c r="K85" s="22" t="inlineStr">
        <is>
          <t>请先阅读 AGENTS.md 和 docs/EcomCraft Architecture.zh-CN.md 第 1、2 节，再读 docs/EcomCraft 实施计划.zh-CN.md （英文版 docs/EcomCraft Implementation Plan.md）中 T82 的章节，严格按其步骤执行；只做任务写明的内容，发现范围外问题只记录不顺手改；完成后按实施计划第 9 节格式汇报，未运行的检查如实写「未运行」。</t>
        </is>
      </c>
      <c r="L85" s="22" t="inlineStr">
        <is>
          <t>未开始</t>
        </is>
      </c>
      <c r="N85" s="22" t="inlineStr">
        <is>
          <t>优先使用 ComfyUI 官方模板；AI 跑不了 GPU，不得声称可用</t>
        </is>
      </c>
    </row>
    <row r="86" s="23">
      <c r="A86" s="22" t="inlineStr">
        <is>
          <t>82</t>
        </is>
      </c>
      <c r="B86" s="22" t="inlineStr">
        <is>
          <t>T83</t>
        </is>
      </c>
      <c r="C86" s="22" t="inlineStr">
        <is>
          <t>阶段 2：参考图 v2</t>
        </is>
      </c>
      <c r="D86" s="22" t="inlineStr">
        <is>
          <t>F74</t>
        </is>
      </c>
      <c r="E86" s="22" t="inlineStr">
        <is>
          <t>参考图分析（自动主体位置与图位）</t>
        </is>
      </c>
      <c r="F86" s="22" t="inlineStr">
        <is>
          <t>新增 Studio/PostProcess/ReferenceAnalysis.cs、ReferenceRules.cs、Tests/ReferenceRulesTests.cs；PromptService（看图提示按固定行格式扩展）</t>
        </is>
      </c>
      <c r="G86" s="22" t="inlineStr">
        <is>
          <t>G1</t>
        </is>
      </c>
      <c r="H86" s="22" t="inlineStr">
        <is>
          <t>M</t>
        </is>
      </c>
      <c r="I86" s="22" t="inlineStr">
        <is>
          <t>3 张不同构图参考图：预览中商品自动落在旧商品位置，误差肉眼可接受；手动拖动仍可覆盖；视觉模型不可用时位置仍走 SwarmRemBg、role 为 unknown 由用户选择</t>
        </is>
      </c>
      <c r="J86" s="22" t="inlineStr">
        <is>
          <t>C# 测试：边界框换算、越界、空蒙版、模型输出解析（含胡乱输出）；真机预览验证</t>
        </is>
      </c>
      <c r="K86" s="22" t="inlineStr">
        <is>
          <t>请先阅读 AGENTS.md 和 docs/EcomCraft Architecture.zh-CN.md 第 1、2 节，再读 docs/EcomCraft 实施计划.zh-CN.md （英文版 docs/EcomCraft Implementation Plan.md）中 T83 的章节，严格按其步骤执行；只做任务写明的内容，发现范围外问题只记录不顺手改；完成后按实施计划第 9 节格式汇报，未运行的检查如实写「未运行」。</t>
        </is>
      </c>
      <c r="L86" s="22" t="inlineStr">
        <is>
          <t>未开始</t>
        </is>
      </c>
      <c r="N86" s="22" t="inlineStr">
        <is>
          <t>取代 T79 手动摆放（保留为修正）；参考图只在内存中，不返回服务器地址</t>
        </is>
      </c>
    </row>
    <row r="87" s="23">
      <c r="A87" s="22" t="inlineStr">
        <is>
          <t>83</t>
        </is>
      </c>
      <c r="B87" s="22" t="inlineStr">
        <is>
          <t>T84</t>
        </is>
      </c>
      <c r="C87" s="22" t="inlineStr">
        <is>
          <t>阶段 2：参考图 v2</t>
        </is>
      </c>
      <c r="D87" s="22" t="inlineStr">
        <is>
          <t>F74</t>
        </is>
      </c>
      <c r="E87" s="22" t="inlineStr">
        <is>
          <t>融合工作流和模板（取代 T62）</t>
        </is>
      </c>
      <c r="F87" s="22" t="inlineStr">
        <is>
          <t>新增 Templates/blueprints/reference-edit.json、Templates/builtin/reference.json；StandardWorkflows.cs（按种类选蓝图，见重构 R13 接入点）；TemplateStore、模板校验、Settings.EcomCraftData</t>
        </is>
      </c>
      <c r="G87" s="22" t="inlineStr">
        <is>
          <t>G1</t>
        </is>
      </c>
      <c r="H87" s="22" t="inlineStr">
        <is>
          <t>L</t>
        </is>
      </c>
      <c r="I87" s="22" t="inlineStr">
        <is>
          <t>执行服务器有模型时自动发布；缺模型时 Unavailable() 说清缺什么；reference 槽位不与 brand_kit 指向同一参数；蓝图和模型名不来自客户端</t>
        </is>
      </c>
      <c r="J87" s="22" t="inlineStr">
        <is>
          <t>BuiltinTemplateTests、TemplateValidatorTests 增用例；真机出图验证</t>
        </is>
      </c>
      <c r="K87" s="22" t="inlineStr">
        <is>
          <t>请先阅读 AGENTS.md 和 docs/EcomCraft Architecture.zh-CN.md 第 1、2 节，再读 docs/EcomCraft 实施计划.zh-CN.md （英文版 docs/EcomCraft Implementation Plan.md）中 T84 的章节，严格按其步骤执行；只做任务写明的内容，发现范围外问题只记录不顺手改；完成后按实施计划第 9 节格式汇报，未运行的检查如实写「未运行」。</t>
        </is>
      </c>
      <c r="L87" s="22" t="inlineStr">
        <is>
          <t>未开始</t>
        </is>
      </c>
      <c r="N87" s="22" t="inlineStr">
        <is>
          <t>ecproductimage 收裁好的商品图还是画布，按 G1 结论定；发布仍走 WorkflowReview</t>
        </is>
      </c>
    </row>
    <row r="88" s="23">
      <c r="A88" s="22" t="inlineStr">
        <is>
          <t>84</t>
        </is>
      </c>
      <c r="B88" s="22" t="inlineStr">
        <is>
          <t>T85</t>
        </is>
      </c>
      <c r="C88" s="22" t="inlineStr">
        <is>
          <t>阶段 2：参考图 v2</t>
        </is>
      </c>
      <c r="D88" s="22" t="inlineStr">
        <is>
          <t>F74</t>
        </is>
      </c>
      <c r="E88" s="22" t="inlineStr">
        <is>
          <t>出图流程接入（reference_mode 与 reference_strength）</t>
        </is>
      </c>
      <c r="F88" s="22" t="inlineStr">
        <is>
          <t>Generation/BatchService.cs（任务负载填 ecreferenceimage）；提示词模板放 PromptRules；SetRules、TaskTiming、队列</t>
        </is>
      </c>
      <c r="G88" s="22" t="inlineStr">
        <is>
          <t>T83、T84</t>
        </is>
      </c>
      <c r="H88" s="22" t="inlineStr">
        <is>
          <t>L</t>
        </is>
      </c>
      <c r="I88" s="22" t="inlineStr">
        <is>
          <t>1 商品 × 3 参考出 3 张，各自贴合对应参考；取消、超时、服务器断开都有白话错误；队列和他人接口读不到参考图；reference_prompts 改为可选</t>
        </is>
      </c>
      <c r="J88" s="22" t="inlineStr">
        <is>
          <t>SetRulesTests 增加模式、强度校验；真机全流程验证</t>
        </is>
      </c>
      <c r="K88" s="22" t="inlineStr">
        <is>
          <t>请先阅读 AGENTS.md 和 docs/EcomCraft Architecture.zh-CN.md 第 1、2 节，再读 docs/EcomCraft 实施计划.zh-CN.md （英文版 docs/EcomCraft Implementation Plan.md）中 T85 的章节，严格按其步骤执行；只做任务写明的内容，发现范围外问题只记录不顺手改；完成后按实施计划第 9 节格式汇报，未运行的检查如实写「未运行」。</t>
        </is>
      </c>
      <c r="L88" s="22" t="inlineStr">
        <is>
          <t>未开始</t>
        </is>
      </c>
      <c r="N88" s="22" t="inlineStr">
        <is>
          <t>必须核查后端上传图片是否留存（ComfyUI 输入目录）；若留存，任务结束后清理并在文档如实写明</t>
        </is>
      </c>
    </row>
    <row r="89" s="23">
      <c r="A89" s="22" t="inlineStr">
        <is>
          <t>85</t>
        </is>
      </c>
      <c r="B89" s="22" t="inlineStr">
        <is>
          <t>T86</t>
        </is>
      </c>
      <c r="C89" s="22" t="inlineStr">
        <is>
          <t>阶段 2：参考图 v2</t>
        </is>
      </c>
      <c r="D89" s="22" t="inlineStr">
        <is>
          <t>F75</t>
        </is>
      </c>
      <c r="E89" s="22" t="inlineStr">
        <is>
          <t>商品定位、贴回和走样校验</t>
        </is>
      </c>
      <c r="F89" s="22" t="inlineStr">
        <is>
          <t>新增 Studio/PostProcess/ProductAlign.cs、ProductAlignRules.cs；ProductComposite.PasteBlended；接入 GenerationFinish（重构 R09 接入点），先保真后缩放</t>
        </is>
      </c>
      <c r="G89" s="22" t="inlineStr">
        <is>
          <t>T85</t>
        </is>
      </c>
      <c r="H89" s="22" t="inlineStr">
        <is>
          <t>L</t>
        </is>
      </c>
      <c r="I89" s="22" t="inlineStr">
        <is>
          <t>带 Logo 的商品出图后 Logo 清晰可读；模型转动商品时不出现重影；差异超限重试一次、仍超限标 product_warning 并在候选图显示「商品可能走样，请核对」</t>
        </is>
      </c>
      <c r="J89" s="22" t="inlineStr">
        <is>
          <t>ProductAlignRulesTests：相同图、平移、缩放、旋转、不同商品；ProductCompositeTests 回归；真机验证</t>
        </is>
      </c>
      <c r="K89" s="22" t="inlineStr">
        <is>
          <t>请先阅读 AGENTS.md 和 docs/EcomCraft Architecture.zh-CN.md 第 1、2 节，再读 docs/EcomCraft 实施计划.zh-CN.md （英文版 docs/EcomCraft Implementation Plan.md）中 T86 的章节，严格按其步骤执行；只做任务写明的内容，发现范围外问题只记录不顺手改；完成后按实施计划第 9 节格式汇报，未运行的检查如实写「未运行」。</t>
        </is>
      </c>
      <c r="L89" s="22" t="inlineStr">
        <is>
          <t>未开始</t>
        </is>
      </c>
      <c r="N89" s="22" t="inlineStr">
        <is>
          <t>贴回阈值放配置，默认值用实测数据定</t>
        </is>
      </c>
    </row>
    <row r="90" s="23">
      <c r="A90" s="22" t="inlineStr">
        <is>
          <t>86</t>
        </is>
      </c>
      <c r="B90" s="22" t="inlineStr">
        <is>
          <t>T87</t>
        </is>
      </c>
      <c r="C90" s="22" t="inlineStr">
        <is>
          <t>阶段 2：参考图 v2</t>
        </is>
      </c>
      <c r="D90" s="22" t="inlineStr">
        <is>
          <t>F74</t>
        </is>
      </c>
      <c r="E90" s="22" t="inlineStr">
        <is>
          <t>比例适配（参考与图位比例不一致）</t>
        </is>
      </c>
      <c r="F90" s="22" t="inlineStr">
        <is>
          <t>Studio/Generation/OutputSizeRules.cs、Tests/OutputSizeRulesTests.cs；必要时复用扩图能力</t>
        </is>
      </c>
      <c r="G90" s="22" t="inlineStr">
        <is>
          <t>T85</t>
        </is>
      </c>
      <c r="H90" s="22" t="inlineStr">
        <is>
          <t>M</t>
        </is>
      </c>
      <c r="I90" s="22" t="inlineStr">
        <is>
          <t>1:1 参考、3:4 图位时主体完整、无拉伸；比例接近（差异 ≤5%）直接裁切，差异大时按目标比例扩图</t>
        </is>
      </c>
      <c r="J90" s="22" t="inlineStr">
        <is>
          <t>OutputSizeRulesTests 增用例；真机验证</t>
        </is>
      </c>
      <c r="K90" s="22" t="inlineStr">
        <is>
          <t>请先阅读 AGENTS.md 和 docs/EcomCraft Architecture.zh-CN.md 第 1、2 节，再读 docs/EcomCraft 实施计划.zh-CN.md （英文版 docs/EcomCraft Implementation Plan.md）中 T87 的章节，严格按其步骤执行；只做任务写明的内容，发现范围外问题只记录不顺手改；完成后按实施计划第 9 节格式汇报，未运行的检查如实写「未运行」。</t>
        </is>
      </c>
      <c r="L90" s="22" t="inlineStr">
        <is>
          <t>未开始</t>
        </is>
      </c>
      <c r="N90" s="22" t="inlineStr">
        <is>
          <t>与 F73 衔接：按比例约 100 万像素出图后精确缩放</t>
        </is>
      </c>
    </row>
    <row r="91" s="23">
      <c r="A91" s="22" t="inlineStr">
        <is>
          <t>87</t>
        </is>
      </c>
      <c r="B91" s="22" t="inlineStr">
        <is>
          <t>T88</t>
        </is>
      </c>
      <c r="C91" s="22" t="inlineStr">
        <is>
          <t>阶段 2：参考图 v2</t>
        </is>
      </c>
      <c r="D91" s="22" t="inlineStr">
        <is>
          <t>F74</t>
        </is>
      </c>
      <c r="E91" s="22" t="inlineStr">
        <is>
          <t>异常参考图处理</t>
        </is>
      </c>
      <c r="F91" s="22" t="inlineStr">
        <is>
          <t>ReferenceAnalysis 标记（subject_count、has_person、has_text、边界框、宽高比）；simple.js 白话提示；错误码</t>
        </is>
      </c>
      <c r="G91" s="22" t="inlineStr">
        <is>
          <t>T83、T85</t>
        </is>
      </c>
      <c r="H91" s="22" t="inlineStr">
        <is>
          <t>M</t>
        </is>
      </c>
      <c r="I91" s="22" t="inlineStr">
        <is>
          <t>多商品（可点选要替换的主体）、含真人（首批提示不支持）、文字占比高（提示文字不保留）、主体过小、商品与参考差别过大（提示可能效果不佳不阻止）、分辨率过低，各有白话提示</t>
        </is>
      </c>
      <c r="J91" s="22" t="inlineStr">
        <is>
          <t>Tests/error-codes.test.cjs；手动触发各情形</t>
        </is>
      </c>
      <c r="K91" s="22" t="inlineStr">
        <is>
          <t>请先阅读 AGENTS.md 和 docs/EcomCraft Architecture.zh-CN.md 第 1、2 节，再读 docs/EcomCraft 实施计划.zh-CN.md （英文版 docs/EcomCraft Implementation Plan.md）中 T88 的章节，严格按其步骤执行；只做任务写明的内容，发现范围外问题只记录不顺手改；完成后按实施计划第 9 节格式汇报，未运行的检查如实写「未运行」。</t>
        </is>
      </c>
      <c r="L91" s="22" t="inlineStr">
        <is>
          <t>未开始</t>
        </is>
      </c>
      <c r="N91" s="22" t="inlineStr"/>
    </row>
    <row r="92" s="23">
      <c r="A92" s="22" t="inlineStr">
        <is>
          <t>88</t>
        </is>
      </c>
      <c r="B92" s="22" t="inlineStr">
        <is>
          <t>T89</t>
        </is>
      </c>
      <c r="C92" s="22" t="inlineStr">
        <is>
          <t>阶段 2：参考图 v2</t>
        </is>
      </c>
      <c r="D92" s="22" t="inlineStr">
        <is>
          <t>F61</t>
        </is>
      </c>
      <c r="E92" s="22" t="inlineStr">
        <is>
          <t>出图页改为单入口（F61 修订）</t>
        </is>
      </c>
      <c r="F92" s="22" t="inlineStr">
        <is>
          <t>Studio/simple.js（setTask 约 486 行、referenceMode 约 2746 行）、index.html、studio.css、lang/en.js</t>
        </is>
      </c>
      <c r="G92" s="22" t="inlineStr">
        <is>
          <t>T85</t>
        </is>
      </c>
      <c r="H92" s="22" t="inlineStr">
        <is>
          <t>L</t>
        </is>
      </c>
      <c r="I92" s="22" t="inlineStr">
        <is>
          <t>新用户打开页面只看到三步（传商品 → 平台尺寸 + 参考图 → 挑图导出）；不出现提示词框、模型或参数；中英文无残留；无视觉模型时不再整页阻塞，只提示「图位需手动选择」；窄屏可用</t>
        </is>
      </c>
      <c r="J92" s="22" t="inlineStr">
        <is>
          <t>更新 simple-mode、studio-i18n、mobile 测试；真机走查</t>
        </is>
      </c>
      <c r="K92" s="22" t="inlineStr">
        <is>
          <t>请先阅读 AGENTS.md 和 docs/EcomCraft Architecture.zh-CN.md 第 1、2 节，再读 docs/EcomCraft 实施计划.zh-CN.md （英文版 docs/EcomCraft Implementation Plan.md）中 T89 的章节，严格按其步骤执行；只做任务写明的内容，发现范围外问题只记录不顺手改；完成后按实施计划第 9 节格式汇报，未运行的检查如实写「未运行」。</t>
        </is>
      </c>
      <c r="L92" s="22" t="inlineStr">
        <is>
          <t>未开始</t>
        </is>
      </c>
      <c r="N92" s="22" t="inlineStr">
        <is>
          <t>删除 simple-task-picker 任务卡片；旧控件代码保留不删，等 G2 决定</t>
        </is>
      </c>
    </row>
    <row r="93" s="23">
      <c r="A93" s="22" t="inlineStr">
        <is>
          <t>89</t>
        </is>
      </c>
      <c r="B93" s="22" t="inlineStr">
        <is>
          <t>T90</t>
        </is>
      </c>
      <c r="C93" s="22" t="inlineStr">
        <is>
          <t>阶段 2：参考图 v2</t>
        </is>
      </c>
      <c r="D93" s="22" t="inlineStr">
        <is>
          <t>F61</t>
        </is>
      </c>
      <c r="E93" s="22" t="inlineStr">
        <is>
          <t>旧入口的衔接功能迁移</t>
        </is>
      </c>
      <c r="F93" s="22" t="inlineStr">
        <is>
          <t>simple.js（chosenTask、applyRecipe 回填）、studio.js（精修入口文案）；docs/EcomCraft 工作台界面设计（中英）</t>
        </is>
      </c>
      <c r="G93" s="22" t="inlineStr">
        <is>
          <t>T89</t>
        </is>
      </c>
      <c r="H93" s="22" t="inlineStr">
        <is>
          <t>M</t>
        </is>
      </c>
      <c r="I93" s="22" t="inlineStr">
        <is>
          <t>浏览器记住的旧任务值（single、set）读取时回落新流程；旧作品「用相同参数重做」回填专业模式并提示「参考图未保存，请重新上传」；「在专业模式里精修」改为「修改这张」；分镜、风格接口无前端调用也不报错</t>
        </is>
      </c>
      <c r="J93" s="22" t="inlineStr">
        <is>
          <t>手动验证各项；node --test</t>
        </is>
      </c>
      <c r="K93" s="22" t="inlineStr">
        <is>
          <t>请先阅读 AGENTS.md 和 docs/EcomCraft Architecture.zh-CN.md 第 1、2 节，再读 docs/EcomCraft 实施计划.zh-CN.md （英文版 docs/EcomCraft Implementation Plan.md）中 T90 的章节，严格按其步骤执行；只做任务写明的内容，发现范围外问题只记录不顺手改；完成后按实施计划第 9 节格式汇报，未运行的检查如实写「未运行」。</t>
        </is>
      </c>
      <c r="L93" s="22" t="inlineStr">
        <is>
          <t>未开始</t>
        </is>
      </c>
      <c r="N93" s="22" t="inlineStr">
        <is>
          <t>逐项见实施计划 T90 表格</t>
        </is>
      </c>
    </row>
    <row r="94" s="23">
      <c r="A94" s="22" t="inlineStr">
        <is>
          <t>90</t>
        </is>
      </c>
      <c r="B94" s="22" t="inlineStr">
        <is>
          <t>T91</t>
        </is>
      </c>
      <c r="C94" s="22" t="inlineStr">
        <is>
          <t>阶段 3：开箱即用</t>
        </is>
      </c>
      <c r="D94" s="22" t="inlineStr">
        <is>
          <t>F76</t>
        </is>
      </c>
      <c r="E94" s="22" t="inlineStr">
        <is>
          <t>硬件检测和分档</t>
        </is>
      </c>
      <c r="F94" s="22" t="inlineStr">
        <is>
          <t>新增 Studio/Setup/HardwareProbe.cs（复用 VisionDeviceCheck 分系统读取）、HardwareRules.cs、Tests/HardwareRulesTests.cs；接口 EcomCraftStudioHardwareStatus（服务器设置权限）</t>
        </is>
      </c>
      <c r="G94" s="22" t="inlineStr">
        <is>
          <t>G2</t>
        </is>
      </c>
      <c r="H94" s="22" t="inlineStr">
        <is>
          <t>M</t>
        </is>
      </c>
      <c r="I94" s="22" t="inlineStr">
        <is>
          <t>recommended / minimum / conditional / unsupported 四档判定正确；检测读不到显示「未知」不判不支持；接口只返回型号和档位，不含路径地址；局域网执行服务器只按节点和模型判断</t>
        </is>
      </c>
      <c r="J94" s="22" t="inlineStr">
        <is>
          <t>HardwareRulesTests 覆盖全部档位边界；不同机器验证</t>
        </is>
      </c>
      <c r="K94" s="22" t="inlineStr">
        <is>
          <t>请先阅读 AGENTS.md 和 docs/EcomCraft Architecture.zh-CN.md 第 1、2 节，再读 docs/EcomCraft 实施计划.zh-CN.md （英文版 docs/EcomCraft Implementation Plan.md）中 T91 的章节，严格按其步骤执行；只做任务写明的内容，发现范围外问题只记录不顺手改；完成后按实施计划第 9 节格式汇报，未运行的检查如实写「未运行」。</t>
        </is>
      </c>
      <c r="L94" s="22" t="inlineStr">
        <is>
          <t>未开始</t>
        </is>
      </c>
      <c r="N94" s="22" t="inlineStr">
        <is>
          <t>数值和 ROCm 列表放配置，以 G1 实测为准</t>
        </is>
      </c>
    </row>
    <row r="95" s="23">
      <c r="A95" s="22" t="inlineStr">
        <is>
          <t>91</t>
        </is>
      </c>
      <c r="B95" s="22" t="inlineStr">
        <is>
          <t>T92</t>
        </is>
      </c>
      <c r="C95" s="22" t="inlineStr">
        <is>
          <t>阶段 3：开箱即用</t>
        </is>
      </c>
      <c r="D95" s="22" t="inlineStr">
        <is>
          <t>F76</t>
        </is>
      </c>
      <c r="E95" s="22" t="inlineStr">
        <is>
          <t>模型配方和扫描已有模型</t>
        </is>
      </c>
      <c r="F95" s="22" t="inlineStr">
        <is>
          <t>新增 Templates/model-recipes.json（随版本发布，Data/EcomCraft/ 可覆盖）；扫描复用 SwarmUI 模型处理器；Tests/ModelRecipeRulesTests.cs</t>
        </is>
      </c>
      <c r="G95" s="22" t="inlineStr">
        <is>
          <t>G2、T91</t>
        </is>
      </c>
      <c r="H95" s="22" t="inlineStr">
        <is>
          <t>M</t>
        </is>
      </c>
      <c r="I95" s="22" t="inlineStr">
        <is>
          <t>按硬件和平台选配方；按文件名和校验值匹配已安装模型，已有的不再下载；用户手放的不在配方内的列为「未识别」，专业模式可用、不自动设默认</t>
        </is>
      </c>
      <c r="J95" s="22" t="inlineStr">
        <is>
          <t>ModelRecipeRulesTests：选配方、部分已安装、校验值不符、配方文件损坏</t>
        </is>
      </c>
      <c r="K95" s="22" t="inlineStr">
        <is>
          <t>请先阅读 AGENTS.md 和 docs/EcomCraft Architecture.zh-CN.md 第 1、2 节，再读 docs/EcomCraft 实施计划.zh-CN.md （英文版 docs/EcomCraft Implementation Plan.md）中 T92 的章节，严格按其步骤执行；只做任务写明的内容，发现范围外问题只记录不顺手改；完成后按实施计划第 9 节格式汇报，未运行的检查如实写「未运行」。</t>
        </is>
      </c>
      <c r="L95" s="22" t="inlineStr">
        <is>
          <t>未开始</t>
        </is>
      </c>
      <c r="N95" s="22" t="inlineStr">
        <is>
          <t>文件清单来自 G1 结论；大小和校验值以实际文件为准，不得编造</t>
        </is>
      </c>
    </row>
    <row r="96" s="23">
      <c r="A96" s="22" t="inlineStr">
        <is>
          <t>92</t>
        </is>
      </c>
      <c r="B96" s="22" t="inlineStr">
        <is>
          <t>T93</t>
        </is>
      </c>
      <c r="C96" s="22" t="inlineStr">
        <is>
          <t>阶段 3：开箱即用</t>
        </is>
      </c>
      <c r="D96" s="22" t="inlineStr">
        <is>
          <t>F76</t>
        </is>
      </c>
      <c r="E96" s="22" t="inlineStr">
        <is>
          <t>一键下载和自动配置</t>
        </is>
      </c>
      <c r="F96" s="22" t="inlineStr">
        <is>
          <t>复用 / 扩展 DoModelDownloadWS（src/WebAPI/ModelsAPI.cs:626）；Settings.EcomCraftData 写入；StandardWorkflows.Ensure；节点自动安装；接口 EcomCraftStudioModelRecipes、EcomCraftStudioModelInstall</t>
        </is>
      </c>
      <c r="G96" s="22" t="inlineStr">
        <is>
          <t>T92</t>
        </is>
      </c>
      <c r="H96" s="22" t="inlineStr">
        <is>
          <t>L</t>
        </is>
      </c>
      <c r="I96" s="22" t="inlineStr">
        <is>
          <t>清空模型的电脑上一键完成（检查磁盘 → 逐个下载显示进度 → 校验 → 写配置 → 刷新模型列表 → 生成标准工作流）；中途断网续传成功；校验失败不启用；可取消，失败有白话说明</t>
        </is>
      </c>
      <c r="J96" s="22" t="inlineStr">
        <is>
          <t>全新机器实测；断网重连续传；校验失败场景</t>
        </is>
      </c>
      <c r="K96" s="22" t="inlineStr">
        <is>
          <t>请先阅读 AGENTS.md 和 docs/EcomCraft Architecture.zh-CN.md 第 1、2 节，再读 docs/EcomCraft 实施计划.zh-CN.md （英文版 docs/EcomCraft Implementation Plan.md）中 T93 的章节，严格按其步骤执行；只做任务写明的内容，发现范围外问题只记录不顺手改；完成后按实施计划第 9 节格式汇报，未运行的检查如实写「未运行」。</t>
        </is>
      </c>
      <c r="L96" s="22" t="inlineStr">
        <is>
          <t>未开始</t>
        </is>
      </c>
      <c r="N96" s="22" t="inlineStr">
        <is>
          <t>国内优先 ModelScope 或镜像，失败自动换源；所需 ComfyUI 节点只装配方声明的固定来源</t>
        </is>
      </c>
    </row>
    <row r="97" s="23">
      <c r="A97" s="22" t="inlineStr">
        <is>
          <t>93</t>
        </is>
      </c>
      <c r="B97" s="22" t="inlineStr">
        <is>
          <t>T94</t>
        </is>
      </c>
      <c r="C97" s="22" t="inlineStr">
        <is>
          <t>阶段 3：开箱即用</t>
        </is>
      </c>
      <c r="D97" s="22" t="inlineStr">
        <is>
          <t>F40</t>
        </is>
      </c>
      <c r="E97" s="22" t="inlineStr">
        <is>
          <t>向导和样例自检（F40 修订）</t>
        </is>
      </c>
      <c r="F97" s="22" t="inlineStr">
        <is>
          <t>管理视图首次设置向导改造；样例自检（内置测试商品和参考图）；VisionModelInstall 一并安装</t>
        </is>
      </c>
      <c r="G97" s="22" t="inlineStr">
        <is>
          <t>T93</t>
        </is>
      </c>
      <c r="H97" s="22" t="inlineStr">
        <is>
          <t>M</t>
        </is>
      </c>
      <c r="I97" s="22" t="inlineStr">
        <is>
          <t>向导流程：语言 → 硬件检测结果 → 推荐配方（下载大小、预计速度）→ 下载 → 样例自检 → 选常用平台；不支持的硬件说明原因并给「局域网连接其他电脑」出口；自检通过才显示「安装完成」，失败给下一步和诊断包入口；自检不写入用户作品库</t>
        </is>
      </c>
      <c r="J97" s="22" t="inlineStr">
        <is>
          <t>清理后的电脑全流程实测</t>
        </is>
      </c>
      <c r="K97" s="22" t="inlineStr">
        <is>
          <t>请先阅读 AGENTS.md 和 docs/EcomCraft Architecture.zh-CN.md 第 1、2 节，再读 docs/EcomCraft 实施计划.zh-CN.md （英文版 docs/EcomCraft Implementation Plan.md）中 T94 的章节，严格按其步骤执行；只做任务写明的内容，发现范围外问题只记录不顺手改；完成后按实施计划第 9 节格式汇报，未运行的检查如实写「未运行」。</t>
        </is>
      </c>
      <c r="L97" s="22" t="inlineStr">
        <is>
          <t>未开始</t>
        </is>
      </c>
      <c r="N97" s="22" t="inlineStr">
        <is>
          <t>样例图必须是我们有权使用的图</t>
        </is>
      </c>
    </row>
    <row r="98" s="23">
      <c r="A98" s="22" t="inlineStr">
        <is>
          <t>94</t>
        </is>
      </c>
      <c r="B98" s="22" t="inlineStr">
        <is>
          <t>T95</t>
        </is>
      </c>
      <c r="C98" s="22" t="inlineStr">
        <is>
          <t>阶段 3：开箱即用</t>
        </is>
      </c>
      <c r="D98" s="22" t="inlineStr">
        <is>
          <t>F23</t>
        </is>
      </c>
      <c r="E98" s="22" t="inlineStr">
        <is>
          <t>Mac 适配（F23，优先级已提高）</t>
        </is>
      </c>
      <c r="F98" s="22" t="inlineStr">
        <is>
          <t>launch-macos.sh、src/Core/Installation.cs；新增 launchtools/install-vision-model-macos.sh；VisionModelInstall.cs:77-78、VisionInstallTests；路径 / 字体 / 进程清理检查</t>
        </is>
      </c>
      <c r="G98" s="22" t="inlineStr">
        <is>
          <t>T84、T93</t>
        </is>
      </c>
      <c r="H98" s="22" t="inlineStr">
        <is>
          <t>L</t>
        </is>
      </c>
      <c r="I98" s="22" t="inlineStr">
        <is>
          <t>清理后的 Apple 芯片 Mac 跑通 T94 全流程，全程无终端外手动步骤；连续出 20 张无崩溃、无黑图</t>
        </is>
      </c>
      <c r="J98" s="22" t="inlineStr">
        <is>
          <t>用户在 Mac 上实测</t>
        </is>
      </c>
      <c r="K98" s="22" t="inlineStr">
        <is>
          <t>请先阅读 AGENTS.md 和 docs/EcomCraft Architecture.zh-CN.md 第 1、2 节，再读 docs/EcomCraft 实施计划.zh-CN.md （英文版 docs/EcomCraft Implementation Plan.md）中 T95 的章节，严格按其步骤执行；只做任务写明的内容，发现范围外问题只记录不顺手改；完成后按实施计划第 9 节格式汇报，未运行的检查如实写「未运行」。</t>
        </is>
      </c>
      <c r="L98" s="22" t="inlineStr">
        <is>
          <t>未开始</t>
        </is>
      </c>
      <c r="N98" s="22" t="inlineStr">
        <is>
          <t>原生 arm64 Python；确认量化格式和节点在 MPS 可用，必要时独立 Mac 配方</t>
        </is>
      </c>
    </row>
    <row r="99" s="23">
      <c r="A99" s="22" t="inlineStr">
        <is>
          <t>95</t>
        </is>
      </c>
      <c r="B99" s="22" t="inlineStr">
        <is>
          <t>T96</t>
        </is>
      </c>
      <c r="C99" s="22" t="inlineStr">
        <is>
          <t>阶段 3：开箱即用</t>
        </is>
      </c>
      <c r="D99" s="22" t="inlineStr">
        <is>
          <t>F77</t>
        </is>
      </c>
      <c r="E99" s="22" t="inlineStr">
        <is>
          <t>安装包和签名</t>
        </is>
      </c>
      <c r="F99" s="22" t="inlineStr">
        <is>
          <t>Desktop/、启动脚本、src/wwwroot/ecomcraft.ico（按 AGENTS.md 同步检查名称路径）；打包脚本</t>
        </is>
      </c>
      <c r="G99" s="22" t="inlineStr">
        <is>
          <t>T94、T95</t>
        </is>
      </c>
      <c r="H99" s="22" t="inlineStr">
        <is>
          <t>L</t>
        </is>
      </c>
      <c r="I99" s="22" t="inlineStr">
        <is>
          <t>用户不需要自己装 .NET、Python、Git；Windows 安装包 + 桌面快捷方式，Mac .app/.dmg；升级保留 Data/、Models/、Output/；卸载询问是否删除模型</t>
        </is>
      </c>
      <c r="J99" s="22" t="inlineStr">
        <is>
          <t>全新机器安装实测；升级保留数据实测</t>
        </is>
      </c>
      <c r="K99" s="22" t="inlineStr">
        <is>
          <t>请先阅读 AGENTS.md 和 docs/EcomCraft Architecture.zh-CN.md 第 1、2 节，再读 docs/EcomCraft 实施计划.zh-CN.md （英文版 docs/EcomCraft Implementation Plan.md）中 T96 的章节，严格按其步骤执行；只做任务写明的内容，发现范围外问题只记录不顺手改；完成后按实施计划第 9 节格式汇报，未运行的检查如实写「未运行」。</t>
        </is>
      </c>
      <c r="L99" s="22" t="inlineStr">
        <is>
          <t>未开始</t>
        </is>
      </c>
      <c r="N99" s="22" t="inlineStr">
        <is>
          <t>签名证书待用户决定；未签名时文档写明放行步骤</t>
        </is>
      </c>
    </row>
    <row r="100" s="23">
      <c r="A100" s="22" t="inlineStr">
        <is>
          <t>96</t>
        </is>
      </c>
      <c r="B100" s="22" t="inlineStr">
        <is>
          <t>T97</t>
        </is>
      </c>
      <c r="C100" s="22" t="inlineStr">
        <is>
          <t>阶段 4：套图和详情</t>
        </is>
      </c>
      <c r="D100" s="22" t="inlineStr">
        <is>
          <t>F58</t>
        </is>
      </c>
      <c r="E100" s="22" t="inlineStr">
        <is>
          <t>平台和图位数据（F58 扩展）</t>
        </is>
      </c>
      <c r="F100" s="22" t="inlineStr">
        <is>
          <t>Templates/platforms.json；SetRules、ExportRules、ComplianceRules；docs/EcomCraft 平台预设槽位设计（中英）</t>
        </is>
      </c>
      <c r="G100" s="22" t="inlineStr">
        <is>
          <t>N06</t>
        </is>
      </c>
      <c r="H100" s="22" t="inlineStr">
        <is>
          <t>M</t>
        </is>
      </c>
      <c r="I100" s="22" t="inlineStr">
        <is>
          <t>第一二三批平台（含 Temu、速卖通、Shopee、Lazada、微信小店、快手、SHEIN、Walmart、Etsy、1688）和图位 first_main、selling、detail_page（宽度、单屏高度、拼接规则）核对官方规范；查不到的保持 verified: false</t>
        </is>
      </c>
      <c r="J100" s="22" t="inlineStr">
        <is>
          <t>ExportTests、ComplianceTests</t>
        </is>
      </c>
      <c r="K100" s="22" t="inlineStr">
        <is>
          <t>请先阅读 AGENTS.md 和 docs/EcomCraft Architecture.zh-CN.md 第 1、2 节，再读 docs/EcomCraft 实施计划.zh-CN.md （英文版 docs/EcomCraft Implementation Plan.md）中 T97 的章节，严格按其步骤执行；只做任务写明的内容，发现范围外问题只记录不顺手改；完成后按实施计划第 9 节格式汇报，未运行的检查如实写「未运行」。</t>
        </is>
      </c>
      <c r="L100" s="22" t="inlineStr">
        <is>
          <t>未开始</t>
        </is>
      </c>
      <c r="N100" s="22" t="inlineStr">
        <is>
          <t>第三方资料矛盾，数值必须查官方，不得编造</t>
        </is>
      </c>
    </row>
    <row r="101" s="23">
      <c r="A101" s="22" t="inlineStr">
        <is>
          <t>97</t>
        </is>
      </c>
      <c r="B101" s="22" t="inlineStr">
        <is>
          <t>T98</t>
        </is>
      </c>
      <c r="C101" s="22" t="inlineStr">
        <is>
          <t>阶段 4：套图和详情</t>
        </is>
      </c>
      <c r="D101" s="22" t="inlineStr">
        <is>
          <t>F78</t>
        </is>
      </c>
      <c r="E101" s="22" t="inlineStr">
        <is>
          <t>按图位出整套</t>
        </is>
      </c>
      <c r="F101" s="22" t="inlineStr">
        <is>
          <t>SetRules（MaxReferences 8→15，BatchService 总上限 20 保持）、BatchService、simple.js 批次按图位分组</t>
        </is>
      </c>
      <c r="G101" s="22" t="inlineStr">
        <is>
          <t>T89、T97</t>
        </is>
      </c>
      <c r="H101" s="22" t="inlineStr">
        <is>
          <t>L</t>
        </is>
      </c>
      <c r="I101" s="22" t="inlineStr">
        <is>
          <t>上传多张参考按 role 分配到平台图位，用户可调整；重复图位允许；缺少的图位显示「未覆盖」；每张参考默认出 1 张，候选图可「再出一张」单独重做；只有一张参考时只出单图并提示</t>
        </is>
      </c>
      <c r="J101" s="22" t="inlineStr">
        <is>
          <t>真机出一套图；node --test</t>
        </is>
      </c>
      <c r="K101" s="22" t="inlineStr">
        <is>
          <t>请先阅读 AGENTS.md 和 docs/EcomCraft Architecture.zh-CN.md 第 1、2 节，再读 docs/EcomCraft 实施计划.zh-CN.md （英文版 docs/EcomCraft Implementation Plan.md）中 T98 的章节，严格按其步骤执行；只做任务写明的内容，发现范围外问题只记录不顺手改；完成后按实施计划第 9 节格式汇报，未运行的检查如实写「未运行」。</t>
        </is>
      </c>
      <c r="L101" s="22" t="inlineStr">
        <is>
          <t>未开始</t>
        </is>
      </c>
      <c r="N101" s="22" t="inlineStr">
        <is>
          <t>套图结构见实施计划 T98（主图组 + 详情页组）</t>
        </is>
      </c>
    </row>
    <row r="102" s="23">
      <c r="A102" s="22" t="inlineStr">
        <is>
          <t>98</t>
        </is>
      </c>
      <c r="B102" s="22" t="inlineStr">
        <is>
          <t>T99</t>
        </is>
      </c>
      <c r="C102" s="22" t="inlineStr">
        <is>
          <t>阶段 4：套图和详情</t>
        </is>
      </c>
      <c r="D102" s="22" t="inlineStr">
        <is>
          <t>F79</t>
        </is>
      </c>
      <c r="E102" s="22" t="inlineStr">
        <is>
          <t>卖点信息和用语检查</t>
        </is>
      </c>
      <c r="F102" s="22" t="inlineStr">
        <is>
          <t>商品库 ProductIndex（按商品保存）；新增 Prompting/ClaimRules.cs、Tests/ClaimRulesTests.cs</t>
        </is>
      </c>
      <c r="G102" s="22" t="inlineStr">
        <is>
          <t>T97</t>
        </is>
      </c>
      <c r="H102" s="22" t="inlineStr">
        <is>
          <t>M</t>
        </is>
      </c>
      <c r="I102" s="22" t="inlineStr">
        <is>
          <t>出套图时填写商品名、3–5 条卖点、参数、尺寸；模型可建议卖点、用户确认后使用，不得编造参数认证功效；广告法极限词提示但不强制；海外平台按语言分别填写</t>
        </is>
      </c>
      <c r="J102" s="22" t="inlineStr">
        <is>
          <t>ClaimRulesTests（词表命中、边界）；手动触发极限词提示</t>
        </is>
      </c>
      <c r="K102" s="22" t="inlineStr">
        <is>
          <t>请先阅读 AGENTS.md 和 docs/EcomCraft Architecture.zh-CN.md 第 1、2 节，再读 docs/EcomCraft 实施计划.zh-CN.md （英文版 docs/EcomCraft Implementation Plan.md）中 T99 的章节，严格按其步骤执行；只做任务写明的内容，发现范围外问题只记录不顺手改；完成后按实施计划第 9 节格式汇报，未运行的检查如实写「未运行」。</t>
        </is>
      </c>
      <c r="L102" s="22" t="inlineStr">
        <is>
          <t>未开始</t>
        </is>
      </c>
      <c r="N102" s="22" t="inlineStr">
        <is>
          <t>词表可配置，须对照官方规定核对</t>
        </is>
      </c>
    </row>
    <row r="103" s="23">
      <c r="A103" s="22" t="inlineStr">
        <is>
          <t>99</t>
        </is>
      </c>
      <c r="B103" s="22" t="inlineStr">
        <is>
          <t>T100</t>
        </is>
      </c>
      <c r="C103" s="22" t="inlineStr">
        <is>
          <t>阶段 4：套图和详情</t>
        </is>
      </c>
      <c r="D103" s="22" t="inlineStr">
        <is>
          <t>F80</t>
        </is>
      </c>
      <c r="E103" s="22" t="inlineStr">
        <is>
          <t>卖点图和详情页版式</t>
        </is>
      </c>
      <c r="F103" s="22" t="inlineStr">
        <is>
          <t>Export/SellingImageService.cs、SellingImageRules.cs、ExportService（按组打包、文件名按顺序）；Tests/SellingImageRulesTests.cs</t>
        </is>
      </c>
      <c r="G103" s="22" t="inlineStr">
        <is>
          <t>T98、T99</t>
        </is>
      </c>
      <c r="H103" s="22" t="inlineStr">
        <is>
          <t>L</t>
        </is>
      </c>
      <c r="I103" s="22" t="inlineStr">
        <is>
          <t>多种版式，文字始终由服务端绘制（不由 AI 生成）；按 T83 分析和商品位置选版式避开商品；详情页按图位排版，导出分屏切片和整张长图，单屏大小按 T97 规格</t>
        </is>
      </c>
      <c r="J103" s="22" t="inlineStr">
        <is>
          <t>SellingImageRulesTests：文字溢出、长文案、中英文</t>
        </is>
      </c>
      <c r="K103" s="22" t="inlineStr">
        <is>
          <t>请先阅读 AGENTS.md 和 docs/EcomCraft Architecture.zh-CN.md 第 1、2 节，再读 docs/EcomCraft 实施计划.zh-CN.md （英文版 docs/EcomCraft Implementation Plan.md）中 T100 的章节，严格按其步骤执行；只做任务写明的内容，发现范围外问题只记录不顺手改；完成后按实施计划第 9 节格式汇报，未运行的检查如实写「未运行」。</t>
        </is>
      </c>
      <c r="L103" s="22" t="inlineStr">
        <is>
          <t>未开始</t>
        </is>
      </c>
      <c r="N103" s="22" t="inlineStr">
        <is>
          <t>海外平台主图禁文字规则走 ComplianceRules 提示</t>
        </is>
      </c>
    </row>
    <row r="104" s="23">
      <c r="A104" s="22" t="inlineStr">
        <is>
          <t>100</t>
        </is>
      </c>
      <c r="B104" s="22" t="inlineStr">
        <is>
          <t>T101</t>
        </is>
      </c>
      <c r="C104" s="22" t="inlineStr">
        <is>
          <t>阶段 4：套图和详情</t>
        </is>
      </c>
      <c r="D104" s="22" t="inlineStr">
        <is>
          <t>F78</t>
        </is>
      </c>
      <c r="E104" s="22" t="inlineStr">
        <is>
          <t>一套图的风格一致（统一色调）</t>
        </is>
      </c>
      <c r="F104" s="22" t="inlineStr">
        <is>
          <t>本地色调匹配（不重新生成、不改商品区域）</t>
        </is>
      </c>
      <c r="G104" s="22" t="inlineStr">
        <is>
          <t>T98</t>
        </is>
      </c>
      <c r="H104" s="22" t="inlineStr">
        <is>
          <t>M</t>
        </is>
      </c>
      <c r="I104" s="22" t="inlineStr">
        <is>
          <t>开启「统一色调」后整套图色调以用户选定的一张为基准；商品区域不变；默认关闭</t>
        </is>
      </c>
      <c r="J104" s="22" t="inlineStr">
        <is>
          <t>真机对比开关效果</t>
        </is>
      </c>
      <c r="K104" s="22" t="inlineStr">
        <is>
          <t>请先阅读 AGENTS.md 和 docs/EcomCraft Architecture.zh-CN.md 第 1、2 节，再读 docs/EcomCraft 实施计划.zh-CN.md （英文版 docs/EcomCraft Implementation Plan.md）中 T101 的章节，严格按其步骤执行；只做任务写明的内容，发现范围外问题只记录不顺手改；完成后按实施计划第 9 节格式汇报，未运行的检查如实写「未运行」。</t>
        </is>
      </c>
      <c r="L104" s="22" t="inlineStr">
        <is>
          <t>未开始</t>
        </is>
      </c>
      <c r="N104" s="22" t="inlineStr">
        <is>
          <t>默认是否开启以实测结果定</t>
        </is>
      </c>
    </row>
    <row r="105" s="23">
      <c r="A105" s="22" t="inlineStr">
        <is>
          <t>101</t>
        </is>
      </c>
      <c r="B105" s="22" t="inlineStr">
        <is>
          <t>T102</t>
        </is>
      </c>
      <c r="C105" s="22" t="inlineStr">
        <is>
          <t>阶段 4：套图和详情</t>
        </is>
      </c>
      <c r="D105" s="22" t="inlineStr">
        <is>
          <t>F81</t>
        </is>
      </c>
      <c r="E105" s="22" t="inlineStr">
        <is>
          <t>内置参考图库</t>
        </is>
      </c>
      <c r="F105" s="22" t="inlineStr">
        <is>
          <t>参考图库数据（按品类和图位）与选择界面</t>
        </is>
      </c>
      <c r="G105" s="22" t="inlineStr">
        <is>
          <t>T98</t>
        </is>
      </c>
      <c r="H105" s="22" t="inlineStr">
        <is>
          <t>M</t>
        </is>
      </c>
      <c r="I105" s="22" t="inlineStr">
        <is>
          <t>按品类和图位提供样图；图片来源必须有权使用（自己生成并审核）并记录来源；基础包随版本、行业包团队版</t>
        </is>
      </c>
      <c r="J105" s="22" t="inlineStr">
        <is>
          <t>人工核对来源记录；真机选择出图</t>
        </is>
      </c>
      <c r="K105" s="22" t="inlineStr">
        <is>
          <t>请先阅读 AGENTS.md 和 docs/EcomCraft Architecture.zh-CN.md 第 1、2 节，再读 docs/EcomCraft 实施计划.zh-CN.md （英文版 docs/EcomCraft Implementation Plan.md）中 T102 的章节，严格按其步骤执行；只做任务写明的内容，发现范围外问题只记录不顺手改；完成后按实施计划第 9 节格式汇报，未运行的检查如实写「未运行」。</t>
        </is>
      </c>
      <c r="L105" s="22" t="inlineStr">
        <is>
          <t>未开始</t>
        </is>
      </c>
      <c r="N105" s="22" t="inlineStr">
        <is>
          <t>竞品图和未授权图片一律不进库</t>
        </is>
      </c>
    </row>
    <row r="106" s="23">
      <c r="A106" s="22" t="inlineStr">
        <is>
          <t>102</t>
        </is>
      </c>
      <c r="B106" s="22" t="inlineStr">
        <is>
          <t>T103</t>
        </is>
      </c>
      <c r="C106" s="22" t="inlineStr">
        <is>
          <t>阶段 5：专业模式</t>
        </is>
      </c>
      <c r="D106" s="22" t="inlineStr">
        <is>
          <t>F82</t>
        </is>
      </c>
      <c r="E106" s="22" t="inlineStr">
        <is>
          <t>版本历史</t>
        </is>
      </c>
      <c r="F106" s="22" t="inlineStr">
        <is>
          <t>专业模式版本数据与界面（只存版本之间的关系和文件引用）；AGENTS.md 先补保存规则</t>
        </is>
      </c>
      <c r="G106" s="22" t="inlineStr">
        <is>
          <t>G2</t>
        </is>
      </c>
      <c r="H106" s="22" t="inlineStr">
        <is>
          <t>M</t>
        </is>
      </c>
      <c r="I106" s="22" t="inlineStr">
        <is>
          <t>每次修改产生新版本，不覆盖原图；可对比、回退；记录只给本人、可删除、写入经临时文件替换</t>
        </is>
      </c>
      <c r="J106" s="22" t="inlineStr">
        <is>
          <t>手动验证；规则审阅</t>
        </is>
      </c>
      <c r="K106" s="22" t="inlineStr">
        <is>
          <t>请先阅读 AGENTS.md 和 docs/EcomCraft Architecture.zh-CN.md 第 1、2 节，再读 docs/EcomCraft 实施计划.zh-CN.md （英文版 docs/EcomCraft Implementation Plan.md）中 T103 的章节，严格按其步骤执行；只做任务写明的内容，发现范围外问题只记录不顺手改；完成后按实施计划第 9 节格式汇报，未运行的检查如实写「未运行」。</t>
        </is>
      </c>
      <c r="L106" s="22" t="inlineStr">
        <is>
          <t>未开始</t>
        </is>
      </c>
      <c r="N106" s="22" t="inlineStr">
        <is>
          <t>规则参照项目归档</t>
        </is>
      </c>
    </row>
    <row r="107" s="23">
      <c r="A107" s="22" t="inlineStr">
        <is>
          <t>103</t>
        </is>
      </c>
      <c r="B107" s="22" t="inlineStr">
        <is>
          <t>T104</t>
        </is>
      </c>
      <c r="C107" s="22" t="inlineStr">
        <is>
          <t>阶段 5：专业模式</t>
        </is>
      </c>
      <c r="D107" s="22" t="inlineStr">
        <is>
          <t>F82</t>
        </is>
      </c>
      <c r="E107" s="22" t="inlineStr">
        <is>
          <t>局部修改和商品锁定</t>
        </is>
      </c>
      <c r="F107" s="22" t="inlineStr">
        <is>
          <t>复用 mask-canvas 蒙版控件；服务端中文转提示词；抠图蒙版保护商品区域 + 贴回</t>
        </is>
      </c>
      <c r="G107" s="22" t="inlineStr">
        <is>
          <t>T103</t>
        </is>
      </c>
      <c r="H107" s="22" t="inlineStr">
        <is>
          <t>L</t>
        </is>
      </c>
      <c r="I107" s="22" t="inlineStr">
        <is>
          <t>一句话写要求（可中文）即可局部修改；默认锁定商品，修改后贴回原商品；用户可手动解锁</t>
        </is>
      </c>
      <c r="J107" s="22" t="inlineStr">
        <is>
          <t>真机验证</t>
        </is>
      </c>
      <c r="K107" s="22" t="inlineStr">
        <is>
          <t>请先阅读 AGENTS.md 和 docs/EcomCraft Architecture.zh-CN.md 第 1、2 节，再读 docs/EcomCraft 实施计划.zh-CN.md （英文版 docs/EcomCraft Implementation Plan.md）中 T104 的章节，严格按其步骤执行；只做任务写明的内容，发现范围外问题只记录不顺手改；完成后按实施计划第 9 节格式汇报，未运行的检查如实写「未运行」。</t>
        </is>
      </c>
      <c r="L107" s="22" t="inlineStr">
        <is>
          <t>未开始</t>
        </is>
      </c>
      <c r="N107" s="22" t="inlineStr">
        <is>
          <t>模型用 G1 选定的编辑模型</t>
        </is>
      </c>
    </row>
    <row r="108" s="23">
      <c r="A108" s="22" t="inlineStr">
        <is>
          <t>104</t>
        </is>
      </c>
      <c r="B108" s="22" t="inlineStr">
        <is>
          <t>T105</t>
        </is>
      </c>
      <c r="C108" s="22" t="inlineStr">
        <is>
          <t>阶段 5：专业模式</t>
        </is>
      </c>
      <c r="D108" s="22" t="inlineStr">
        <is>
          <t>F82</t>
        </is>
      </c>
      <c r="E108" s="22" t="inlineStr">
        <is>
          <t>消除物体、换背景</t>
        </is>
      </c>
      <c r="F108" s="22" t="inlineStr">
        <is>
          <t>专业模式工具（涂抹移除；商品不动换场景）</t>
        </is>
      </c>
      <c r="G108" s="22" t="inlineStr">
        <is>
          <t>T104</t>
        </is>
      </c>
      <c r="H108" s="22" t="inlineStr">
        <is>
          <t>M</t>
        </is>
      </c>
      <c r="I108" s="22" t="inlineStr">
        <is>
          <t>涂抹后移除杂物、文字、水印；换背景时商品不动，可用文字或参考图</t>
        </is>
      </c>
      <c r="J108" s="22" t="inlineStr">
        <is>
          <t>真机验证</t>
        </is>
      </c>
      <c r="K108" s="22" t="inlineStr">
        <is>
          <t>请先阅读 AGENTS.md 和 docs/EcomCraft Architecture.zh-CN.md 第 1、2 节，再读 docs/EcomCraft 实施计划.zh-CN.md （英文版 docs/EcomCraft Implementation Plan.md）中 T105 的章节，严格按其步骤执行；只做任务写明的内容，发现范围外问题只记录不顺手改；完成后按实施计划第 9 节格式汇报，未运行的检查如实写「未运行」。</t>
        </is>
      </c>
      <c r="L108" s="22" t="inlineStr">
        <is>
          <t>未开始</t>
        </is>
      </c>
      <c r="N108" s="22" t="inlineStr"/>
    </row>
    <row r="109" s="23">
      <c r="A109" s="22" t="inlineStr">
        <is>
          <t>105</t>
        </is>
      </c>
      <c r="B109" s="22" t="inlineStr">
        <is>
          <t>T106</t>
        </is>
      </c>
      <c r="C109" s="22" t="inlineStr">
        <is>
          <t>阶段 5：专业模式</t>
        </is>
      </c>
      <c r="D109" s="22" t="inlineStr">
        <is>
          <t>F82</t>
        </is>
      </c>
      <c r="E109" s="22" t="inlineStr">
        <is>
          <t>指令修图</t>
        </is>
      </c>
      <c r="F109" s="22" t="inlineStr">
        <is>
          <t>编辑模型整图指令 + 贴回；常用指令按钮</t>
        </is>
      </c>
      <c r="G109" s="22" t="inlineStr">
        <is>
          <t>T103</t>
        </is>
      </c>
      <c r="H109" s="22" t="inlineStr">
        <is>
          <t>M</t>
        </is>
      </c>
      <c r="I109" s="22" t="inlineStr">
        <is>
          <t>「光线再暖一点」类整图指令生效，商品贴回；提供常用指令按钮降低输入门槛</t>
        </is>
      </c>
      <c r="J109" s="22" t="inlineStr">
        <is>
          <t>真机验证</t>
        </is>
      </c>
      <c r="K109" s="22" t="inlineStr">
        <is>
          <t>请先阅读 AGENTS.md 和 docs/EcomCraft Architecture.zh-CN.md 第 1、2 节，再读 docs/EcomCraft 实施计划.zh-CN.md （英文版 docs/EcomCraft Implementation Plan.md）中 T106 的章节，严格按其步骤执行；只做任务写明的内容，发现范围外问题只记录不顺手改；完成后按实施计划第 9 节格式汇报，未运行的检查如实写「未运行」。</t>
        </is>
      </c>
      <c r="L109" s="22" t="inlineStr">
        <is>
          <t>未开始</t>
        </is>
      </c>
      <c r="N109" s="22" t="inlineStr"/>
    </row>
    <row r="110" s="23">
      <c r="A110" s="22" t="inlineStr">
        <is>
          <t>106</t>
        </is>
      </c>
      <c r="B110" s="22" t="inlineStr">
        <is>
          <t>T107</t>
        </is>
      </c>
      <c r="C110" s="22" t="inlineStr">
        <is>
          <t>阶段 5：专业模式</t>
        </is>
      </c>
      <c r="D110" s="22" t="inlineStr">
        <is>
          <t>F82</t>
        </is>
      </c>
      <c r="E110" s="22" t="inlineStr">
        <is>
          <t>改比例和放大接到平台尺寸</t>
        </is>
      </c>
      <c r="F110" s="22" t="inlineStr">
        <is>
          <t>扩图、放大与图位联动</t>
        </is>
      </c>
      <c r="G110" s="22" t="inlineStr">
        <is>
          <t>T97</t>
        </is>
      </c>
      <c r="H110" s="22" t="inlineStr">
        <is>
          <t>S</t>
        </is>
      </c>
      <c r="I110" s="22" t="inlineStr">
        <is>
          <t>选图位后自动计算扩图方向和放大倍数</t>
        </is>
      </c>
      <c r="J110" s="22" t="inlineStr">
        <is>
          <t>真机验证</t>
        </is>
      </c>
      <c r="K110" s="22" t="inlineStr">
        <is>
          <t>请先阅读 AGENTS.md 和 docs/EcomCraft Architecture.zh-CN.md 第 1、2 节，再读 docs/EcomCraft 实施计划.zh-CN.md （英文版 docs/EcomCraft Implementation Plan.md）中 T107 的章节，严格按其步骤执行；只做任务写明的内容，发现范围外问题只记录不顺手改；完成后按实施计划第 9 节格式汇报，未运行的检查如实写「未运行」。</t>
        </is>
      </c>
      <c r="L110" s="22" t="inlineStr">
        <is>
          <t>未开始</t>
        </is>
      </c>
      <c r="N110" s="22" t="inlineStr"/>
    </row>
    <row r="111" s="23">
      <c r="A111" s="22" t="inlineStr">
        <is>
          <t>107</t>
        </is>
      </c>
      <c r="B111" s="22" t="inlineStr">
        <is>
          <t>T108</t>
        </is>
      </c>
      <c r="C111" s="22" t="inlineStr">
        <is>
          <t>阶段 5：专业模式</t>
        </is>
      </c>
      <c r="D111" s="22" t="inlineStr">
        <is>
          <t>F82</t>
        </is>
      </c>
      <c r="E111" s="22" t="inlineStr">
        <is>
          <t>P1：文字层、换色、光影、批量应用（开发前先分拆）</t>
        </is>
      </c>
      <c r="F111" s="22" t="inlineStr">
        <is>
          <t>专业模式工具；PSD 导出沿用 F26</t>
        </is>
      </c>
      <c r="G111" s="22" t="inlineStr">
        <is>
          <t>T104</t>
        </is>
      </c>
      <c r="H111" s="22" t="inlineStr">
        <is>
          <t>L</t>
        </is>
      </c>
      <c r="I111" s="22" t="inlineStr">
        <is>
          <t>文字层可编辑可增改；换色换材质提示「须与实物一致」；光影方向 / 阴影 / 重新打光；同一修改批量应用到多个 SKU 或整套图</t>
        </is>
      </c>
      <c r="J111" s="22" t="inlineStr">
        <is>
          <t>真机验证</t>
        </is>
      </c>
      <c r="K111" s="22" t="inlineStr">
        <is>
          <t>请先阅读 AGENTS.md 和 docs/EcomCraft Architecture.zh-CN.md 第 1、2 节，再读 docs/EcomCraft 实施计划.zh-CN.md （英文版 docs/EcomCraft Implementation Plan.md）中 T108 的章节，严格按其步骤执行；只做任务写明的内容，发现范围外问题只记录不顺手改；完成后按实施计划第 9 节格式汇报，未运行的检查如实写「未运行」。</t>
        </is>
      </c>
      <c r="L111" s="22" t="inlineStr">
        <is>
          <t>未开始</t>
        </is>
      </c>
      <c r="N111" s="22" t="inlineStr">
        <is>
          <t>开发前先分拆成独立任务再排期</t>
        </is>
      </c>
    </row>
    <row r="112" s="23">
      <c r="A112" s="22" t="inlineStr">
        <is>
          <t>108</t>
        </is>
      </c>
      <c r="B112" s="22" t="inlineStr">
        <is>
          <t>T109</t>
        </is>
      </c>
      <c r="C112" s="22" t="inlineStr">
        <is>
          <t>阶段 6：发布</t>
        </is>
      </c>
      <c r="D112" s="22" t="inlineStr">
        <is>
          <t>F16</t>
        </is>
      </c>
      <c r="E112" s="22" t="inlineStr">
        <is>
          <t>开源和团队版拆分（F16 修订）</t>
        </is>
      </c>
      <c r="F112" s="22" t="inlineStr">
        <is>
          <t>独立闭源扩展程序集 + 接口注册；依赖盘点与接口抽取（ExecutionScheduler、WorkSync、WorkflowReview）</t>
        </is>
      </c>
      <c r="G112" s="22" t="inlineStr">
        <is>
          <t>G2</t>
        </is>
      </c>
      <c r="H112" s="22" t="inlineStr">
        <is>
          <t>L</t>
        </is>
      </c>
      <c r="I112" s="22" t="inlineStr">
        <is>
          <t>开源版没有团队功能代码（不是开关隐藏）；离线授权文件只限账号数；两版本功能边界见实施计划 T109 表</t>
        </is>
      </c>
      <c r="J112" s="22" t="inlineStr">
        <is>
          <t>架构审阅；两个版本分别实测</t>
        </is>
      </c>
      <c r="K112" s="22" t="inlineStr">
        <is>
          <t>请先阅读 AGENTS.md 和 docs/EcomCraft Architecture.zh-CN.md 第 1、2 节，再读 docs/EcomCraft 实施计划.zh-CN.md （英文版 docs/EcomCraft Implementation Plan.md）中 T109 的章节，严格按其步骤执行；只做任务写明的内容，发现范围外问题只记录不顺手改；完成后按实施计划第 9 节格式汇报，未运行的检查如实写「未运行」。</t>
        </is>
      </c>
      <c r="L112" s="22" t="inlineStr">
        <is>
          <t>未开始</t>
        </is>
      </c>
      <c r="N112" s="22" t="inlineStr">
        <is>
          <t>许可（MIT 上游、AGPL 建议、GPL ComfyUI、模型不随软件分发）需律师确认后才能发布</t>
        </is>
      </c>
    </row>
    <row r="113" s="23">
      <c r="A113" s="22" t="inlineStr">
        <is>
          <t>109</t>
        </is>
      </c>
      <c r="B113" s="22" t="inlineStr">
        <is>
          <t>T110</t>
        </is>
      </c>
      <c r="C113" s="22" t="inlineStr">
        <is>
          <t>阶段 6：发布</t>
        </is>
      </c>
      <c r="D113" s="22" t="inlineStr"/>
      <c r="E113" s="22" t="inlineStr">
        <is>
          <t>配置要求和发布文档</t>
        </is>
      </c>
      <c r="F113" s="22" t="inlineStr">
        <is>
          <t>README、README.en、官网；「能否运行」检测工具复用 T91</t>
        </is>
      </c>
      <c r="G113" s="22" t="inlineStr">
        <is>
          <t>T96</t>
        </is>
      </c>
      <c r="H113" s="22" t="inlineStr">
        <is>
          <t>S</t>
        </is>
      </c>
      <c r="I113" s="22" t="inlineStr">
        <is>
          <t>写清最低配置并提供检测工具，减少装完才发现用不了；中英文同步</t>
        </is>
      </c>
      <c r="J113" s="22" t="inlineStr">
        <is>
          <t>人工审阅</t>
        </is>
      </c>
      <c r="K113" s="22" t="inlineStr">
        <is>
          <t>请先阅读 AGENTS.md 和 docs/EcomCraft Architecture.zh-CN.md 第 1、2 节，再读 docs/EcomCraft 实施计划.zh-CN.md （英文版 docs/EcomCraft Implementation Plan.md）中 T110 的章节，严格按其步骤执行；只做任务写明的内容，发现范围外问题只记录不顺手改；完成后按实施计划第 9 节格式汇报，未运行的检查如实写「未运行」。</t>
        </is>
      </c>
      <c r="L113" s="22" t="inlineStr">
        <is>
          <t>未开始</t>
        </is>
      </c>
      <c r="N113" s="22" t="inlineStr"/>
    </row>
    <row r="114">
      <c r="A114"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qwen_image_2.1_vae_bf16.safetensors；先用于文生图。该具体版本的商用许可待对照模型发布页核对。；2026-10-31：Qwen-Image 2.1 官方许可为仅研究和评估，用户决定先不考虑，发布前处理（见实施计划 8.1）</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T82（参考图路线实测）、T84</t>
        </is>
      </c>
      <c r="E14" s="46" t="inlineStr">
        <is>
          <t>未开始</t>
        </is>
      </c>
      <c r="F14" s="44" t="n"/>
      <c r="G14" s="44" t="inlineStr">
        <is>
          <t>2026-10-28 用户：图生图暂无好方案，先放待办；2026-10-31：模型选型并入 G1 实测</t>
        </is>
      </c>
    </row>
    <row r="15">
      <c r="A15" s="47" t="inlineStr">
        <is>
          <t>N11</t>
        </is>
      </c>
      <c r="B15" s="40" t="inlineStr">
        <is>
          <t>准备测试机</t>
        </is>
      </c>
      <c r="C15" s="40" t="inlineStr">
        <is>
          <t>一台 Windows + NVIDIA 8GB 以上、一台 Apple 芯片 Mac（24GB 以上）；记录在案的 RX 5600 XT（6GB）不在 ROCm 支持列表内，不能作基准</t>
        </is>
      </c>
      <c r="D15" s="42" t="inlineStr">
        <is>
          <t>T82、N12</t>
        </is>
      </c>
      <c r="E15" s="46" t="inlineStr">
        <is>
          <t>未开始</t>
        </is>
      </c>
    </row>
    <row r="16">
      <c r="A16" s="47" t="inlineStr">
        <is>
          <t>N12</t>
        </is>
      </c>
      <c r="B16" s="40" t="inlineStr">
        <is>
          <t>跑参考图路线实测</t>
        </is>
      </c>
      <c r="C16" s="40" t="inlineStr">
        <is>
          <t>按 T82 产出的实测手册，用约 15 个主攻品类商品 × 2 张参考跑 R0–R5 方案，填写记录表，供 G1 决策（建议通过线：可直接上架 ≥60%、明显优于 R0、Windows 单张 ≤3 分钟 / Mac ≤10 分钟、无崩溃黑图）</t>
        </is>
      </c>
      <c r="D16" s="42" t="inlineStr">
        <is>
          <t>T82、N11、N03</t>
        </is>
      </c>
      <c r="E16" s="46" t="inlineStr">
        <is>
          <t>未开始</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预留：定制服务</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品牌模型训练（定制服务）</t>
        </is>
      </c>
    </row>
    <row r="11" ht="17.15" customHeight="1" s="23">
      <c r="A11" s="43" t="inlineStr">
        <is>
          <t>改版：简易模式 v3</t>
        </is>
      </c>
      <c r="B11" s="47">
        <f>COUNTIF(功能总表!$B$5:$B$200,A11)</f>
        <v/>
      </c>
      <c r="C11" s="47">
        <f>COUNTIF(开发任务!$C$5:$C$200,A11)</f>
        <v/>
      </c>
      <c r="D11" s="47">
        <f>COUNTIFS(开发任务!$C$5:$C$200,A11,开发任务!$L$5:$L$200,"已完成")</f>
        <v/>
      </c>
      <c r="E11" s="47">
        <f>COUNTIFS(开发任务!$C$5:$C$200,A11,开发任务!$L$5:$L$200,"进行中")</f>
        <v/>
      </c>
      <c r="F11" s="50">
        <f>IF(C11=0,0,D11/C11)</f>
        <v/>
      </c>
      <c r="G11" s="40" t="inlineStr">
        <is>
          <t>—</t>
        </is>
      </c>
    </row>
    <row r="12" ht="17.15" customHeight="1" s="23">
      <c r="A12" s="43" t="inlineStr">
        <is>
          <t>改版：界面 v4</t>
        </is>
      </c>
      <c r="B12" s="47">
        <f>COUNTIF(功能总表!$B$5:$B$200,A12)</f>
        <v/>
      </c>
      <c r="C12" s="47">
        <f>COUNTIF(开发任务!$C$5:$C$200,A12)</f>
        <v/>
      </c>
      <c r="D12" s="47">
        <f>COUNTIFS(开发任务!$C$5:$C$200,A12,开发任务!$L$5:$L$200,"已完成")</f>
        <v/>
      </c>
      <c r="E12" s="47">
        <f>COUNTIFS(开发任务!$C$5:$C$200,A12,开发任务!$L$5:$L$200,"进行中")</f>
        <v/>
      </c>
      <c r="F12" s="50">
        <f>IF(C12=0,0,D12/C12)</f>
        <v/>
      </c>
      <c r="G12" s="40" t="inlineStr">
        <is>
          <t>—</t>
        </is>
      </c>
    </row>
    <row r="13" ht="19.5" customHeight="1" s="23">
      <c r="A13" s="43" t="inlineStr">
        <is>
          <t>阶段 0：规划落文</t>
        </is>
      </c>
      <c r="B13" s="47">
        <f>COUNTIF(功能总表!$B$5:$B$200,A13)</f>
        <v/>
      </c>
      <c r="C13" s="47">
        <f>COUNTIF(开发任务!$C$5:$C$200,A13)</f>
        <v/>
      </c>
      <c r="D13" s="47">
        <f>COUNTIFS(开发任务!$C$5:$C$200,A13,开发任务!$L$5:$L$200,"已完成")</f>
        <v/>
      </c>
      <c r="E13" s="47">
        <f>COUNTIFS(开发任务!$C$5:$C$200,A13,开发任务!$L$5:$L$200,"进行中")</f>
        <v/>
      </c>
      <c r="F13" s="50">
        <f>IF(C13=0,0,D13/C13)</f>
        <v/>
      </c>
      <c r="G13" s="40" t="inlineStr">
        <is>
          <t>—</t>
        </is>
      </c>
    </row>
    <row r="14" ht="19.5" customHeight="1" s="23">
      <c r="A14" s="43" t="inlineStr">
        <is>
          <t>阶段 1：路线实测</t>
        </is>
      </c>
      <c r="B14" s="47">
        <f>COUNTIF(功能总表!$B$5:$B$200,A14)</f>
        <v/>
      </c>
      <c r="C14" s="47">
        <f>COUNTIF(开发任务!$C$5:$C$200,A14)</f>
        <v/>
      </c>
      <c r="D14" s="47">
        <f>COUNTIFS(开发任务!$C$5:$C$200,A14,开发任务!$L$5:$L$200,"已完成")</f>
        <v/>
      </c>
      <c r="E14" s="47">
        <f>COUNTIFS(开发任务!$C$5:$C$200,A14,开发任务!$L$5:$L$200,"进行中")</f>
        <v/>
      </c>
      <c r="F14" s="50">
        <f>IF(C14=0,0,D14/C14)</f>
        <v/>
      </c>
      <c r="G14" s="40" t="inlineStr">
        <is>
          <t>—（G1 决策关卡）</t>
        </is>
      </c>
    </row>
    <row r="15" ht="19.5" customHeight="1" s="23">
      <c r="A15" s="43" t="inlineStr">
        <is>
          <t>阶段 2：参考图 v2</t>
        </is>
      </c>
      <c r="B15" s="47">
        <f>COUNTIF(功能总表!$B$5:$B$200,A15)</f>
        <v/>
      </c>
      <c r="C15" s="47">
        <f>COUNTIF(开发任务!$C$5:$C$200,A15)</f>
        <v/>
      </c>
      <c r="D15" s="47">
        <f>COUNTIFS(开发任务!$C$5:$C$200,A15,开发任务!$L$5:$L$200,"已完成")</f>
        <v/>
      </c>
      <c r="E15" s="47">
        <f>COUNTIFS(开发任务!$C$5:$C$200,A15,开发任务!$L$5:$L$200,"进行中")</f>
        <v/>
      </c>
      <c r="F15" s="50">
        <f>IF(C15=0,0,D15/C15)</f>
        <v/>
      </c>
      <c r="G15" s="40" t="inlineStr">
        <is>
          <t>软件销售（参考图驱动的单入口出图）</t>
        </is>
      </c>
    </row>
    <row r="16" ht="19.5" customHeight="1" s="23">
      <c r="A16" s="43" t="inlineStr">
        <is>
          <t>阶段 3：开箱即用</t>
        </is>
      </c>
      <c r="B16" s="47">
        <f>COUNTIF(功能总表!$B$5:$B$200,A16)</f>
        <v/>
      </c>
      <c r="C16" s="47">
        <f>COUNTIF(开发任务!$C$5:$C$200,A16)</f>
        <v/>
      </c>
      <c r="D16" s="47">
        <f>COUNTIFS(开发任务!$C$5:$C$200,A16,开发任务!$L$5:$L$200,"已完成")</f>
        <v/>
      </c>
      <c r="E16" s="47">
        <f>COUNTIFS(开发任务!$C$5:$C$200,A16,开发任务!$L$5:$L$200,"进行中")</f>
        <v/>
      </c>
      <c r="F16" s="50">
        <f>IF(C16=0,0,D16/C16)</f>
        <v/>
      </c>
      <c r="G16" s="40" t="inlineStr">
        <is>
          <t>软件销售、部署安装服务</t>
        </is>
      </c>
    </row>
    <row r="17" ht="19.5" customHeight="1" s="23">
      <c r="A17" s="43" t="inlineStr">
        <is>
          <t>阶段 4：套图和详情</t>
        </is>
      </c>
      <c r="B17" s="47">
        <f>COUNTIF(功能总表!$B$5:$B$200,A17)</f>
        <v/>
      </c>
      <c r="C17" s="47">
        <f>COUNTIF(开发任务!$C$5:$C$200,A17)</f>
        <v/>
      </c>
      <c r="D17" s="47">
        <f>COUNTIFS(开发任务!$C$5:$C$200,A17,开发任务!$L$5:$L$200,"已完成")</f>
        <v/>
      </c>
      <c r="E17" s="47">
        <f>COUNTIFS(开发任务!$C$5:$C$200,A17,开发任务!$L$5:$L$200,"进行中")</f>
        <v/>
      </c>
      <c r="F17" s="50">
        <f>IF(C17=0,0,D17/C17)</f>
        <v/>
      </c>
      <c r="G17" s="40" t="inlineStr">
        <is>
          <t>软件销售、行业模板包（团队版）</t>
        </is>
      </c>
    </row>
    <row r="18">
      <c r="A18" s="43" t="inlineStr">
        <is>
          <t>阶段 5：专业模式</t>
        </is>
      </c>
      <c r="B18" s="47">
        <f>COUNTIF(功能总表!$B$5:$B$200,A18)</f>
        <v/>
      </c>
      <c r="C18" s="47">
        <f>COUNTIF(开发任务!$C$5:$C$200,A18)</f>
        <v/>
      </c>
      <c r="D18" s="47">
        <f>COUNTIFS(开发任务!$C$5:$C$200,A18,开发任务!$L$5:$L$200,"已完成")</f>
        <v/>
      </c>
      <c r="E18" s="47">
        <f>COUNTIFS(开发任务!$C$5:$C$200,A18,开发任务!$L$5:$L$200,"进行中")</f>
        <v/>
      </c>
      <c r="F18" s="50">
        <f>IF(C18=0,0,D18/C18)</f>
        <v/>
      </c>
      <c r="G18" s="40" t="inlineStr">
        <is>
          <t>团队版</t>
        </is>
      </c>
    </row>
    <row r="19">
      <c r="A19" s="43" t="inlineStr">
        <is>
          <t>阶段 6：发布</t>
        </is>
      </c>
      <c r="B19" s="47">
        <f>COUNTIF(功能总表!$B$5:$B$200,A19)</f>
        <v/>
      </c>
      <c r="C19" s="47">
        <f>COUNTIF(开发任务!$C$5:$C$200,A19)</f>
        <v/>
      </c>
      <c r="D19" s="47">
        <f>COUNTIFS(开发任务!$C$5:$C$200,A19,开发任务!$L$5:$L$200,"已完成")</f>
        <v/>
      </c>
      <c r="E19" s="47">
        <f>COUNTIFS(开发任务!$C$5:$C$200,A19,开发任务!$L$5:$L$200,"进行中")</f>
        <v/>
      </c>
      <c r="F19" s="50">
        <f>IF(C19=0,0,D19/C19)</f>
        <v/>
      </c>
      <c r="G19" s="40" t="inlineStr">
        <is>
          <t>团队版、部署安装服务</t>
        </is>
      </c>
    </row>
    <row r="20">
      <c r="A20" s="43" t="inlineStr">
        <is>
          <t>合计</t>
        </is>
      </c>
      <c r="B20" s="51">
        <f>SUM(B5:B19)</f>
        <v/>
      </c>
      <c r="C20" s="51">
        <f>SUM(C5:C19)</f>
        <v/>
      </c>
      <c r="D20" s="51">
        <f>SUM(D5:D19)</f>
        <v/>
      </c>
      <c r="E20" s="51">
        <f>SUM(E5:E19)</f>
        <v/>
      </c>
      <c r="F20" s="52">
        <f>IF(C20=0,0,D20/C20)</f>
        <v/>
      </c>
    </row>
    <row r="21">
      <c r="A21" s="43" t="inlineStr">
        <is>
          <t>其中 MVP（A + B + C）</t>
        </is>
      </c>
      <c r="B21" s="51">
        <f>SUM(B5:B7)</f>
        <v/>
      </c>
      <c r="C21" s="51">
        <f>SUM(C5:C7)</f>
        <v/>
      </c>
      <c r="D21" s="51">
        <f>SUM(D5:D7)</f>
        <v/>
      </c>
      <c r="E21" s="51">
        <f>SUM(E5:E7)</f>
        <v/>
      </c>
      <c r="F21" s="52">
        <f>IF(C21=0,0,D21/C21)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按软件销售、按账号数收费（A12、A18）；不做云端出图（A6 修订），不存在云端额度</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云端生成</t>
        </is>
      </c>
      <c r="B9" s="40" t="inlineStr">
        <is>
          <t>不做云端生成（A6、D11 修订，2026-10-31）：生成只在本机自启动和已登记的局域网 ComfyUI 上执行；原“保留执行方抽象、修订规则后再开发”的规划作废（F18、T29 已暂缓）</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row r="12" ht="19.5" customHeight="1" s="23">
      <c r="A12" s="40" t="inlineStr">
        <is>
          <t>无显卡和云端出图</t>
        </is>
      </c>
      <c r="B12" s="40" t="inlineStr">
        <is>
          <t>必须有显卡才能用（A15 / P1）；不做无显卡方案，不做云端生成（A6 修订），配置不够时明确告知不支持；看图和提示词模型的云端选项不受影响</t>
        </is>
      </c>
    </row>
    <row r="13" ht="19.5" customHeight="1" s="23">
      <c r="A13" s="40" t="inlineStr">
        <is>
          <t>Linux 验证</t>
        </is>
      </c>
      <c r="B13" s="40" t="inlineStr">
        <is>
          <t>重点支持 Windows 和 Mac（A16 / P2）；Linux 启动脚本保留，但暂不投入开发和验证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2026-10-31T12:44:56Z</dcterms:modified>
  <cp:revision>0</cp:revision>
</cp:coreProperties>
</file>